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<sst xmlns="http://schemas.openxmlformats.org/spreadsheetml/2006/main" count="7494" uniqueCount="266">
  <si>
    <t xml:space="preserve">ANDEBOL MISTO - 1ª DIVISÃO                                                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</si>
  <si>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</si>
  <si>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</si>
  <si>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</si>
  <si>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</si>
  <si>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</si>
  <si>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</si>
  <si>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</si>
  <si>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</si>
  <si>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</si>
  <si>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</si>
  <si>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</si>
  <si>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</si>
  <si>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</si>
  <si>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</si>
  <si>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</si>
  <si>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</si>
  <si>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</si>
  <si>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</si>
  <si>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</si>
  <si>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</si>
  <si>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</si>
  <si>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</si>
  <si>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</si>
  <si>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</si>
  <si>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</si>
  <si>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</si>
  <si>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</si>
  <si>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</si>
  <si>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</si>
  <si>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</si>
  <si>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</si>
  <si>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</si>
  <si>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</si>
  <si>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</si>
  <si>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</si>
  <si>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</si>
  <si>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</si>
  <si>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</si>
  <si>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ECT</t>
  </si>
  <si>
    <t>Gestão Comercial</t>
  </si>
  <si>
    <t>4*</t>
  </si>
  <si>
    <t>Marketing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</si>
  <si>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</si>
  <si>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</si>
  <si>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</si>
  <si>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</si>
  <si>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</si>
  <si>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</si>
  <si>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</si>
  <si>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</si>
  <si>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</si>
  <si>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</si>
  <si>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</si>
  <si>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</si>
  <si>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</si>
  <si>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</si>
  <si>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</si>
  <si>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</si>
  <si>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</si>
  <si>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</si>
  <si>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</si>
  <si>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</si>
  <si>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</si>
  <si>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</si>
  <si>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</si>
  <si>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</si>
  <si>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</si>
  <si>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</si>
  <si>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</si>
  <si>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</si>
  <si>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</si>
  <si>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</si>
  <si>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Meias Finais</t>
  </si>
  <si>
    <t>21h30</t>
  </si>
  <si>
    <t>22h30</t>
  </si>
  <si>
    <t>3º/4º Lugar</t>
  </si>
  <si>
    <t>19h30</t>
  </si>
  <si>
    <t>Caixa UA</t>
  </si>
  <si>
    <t>Final</t>
  </si>
  <si>
    <t>BASQUETEBOL MASCULINO - 1ª DIVISÃO</t>
  </si>
  <si>
    <t>PM</t>
  </si>
  <si>
    <t>PS</t>
  </si>
  <si>
    <t>DP</t>
  </si>
  <si>
    <t>21h20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</si>
  <si>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</si>
  <si>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</si>
  <si>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</si>
  <si>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</si>
  <si>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</si>
  <si>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</si>
  <si>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</si>
  <si>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</si>
  <si>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</si>
  <si>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</si>
  <si>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</si>
  <si>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</si>
  <si>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</si>
  <si>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Classificação após critérios de desempate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</si>
  <si>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</si>
  <si>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A</t>
  </si>
  <si>
    <t>16h30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</si>
  <si>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</si>
  <si>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</si>
  <si>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</si>
  <si>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</si>
  <si>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</si>
  <si>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</si>
  <si>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</si>
  <si>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</si>
  <si>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</si>
  <si>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16h50</t>
  </si>
  <si>
    <t>17h10</t>
  </si>
  <si>
    <t>17h30</t>
  </si>
  <si>
    <t>17h50</t>
  </si>
  <si>
    <t>18h10</t>
  </si>
  <si>
    <t>18h30</t>
  </si>
  <si>
    <t>18h50</t>
  </si>
  <si>
    <t>19h10</t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</si>
  <si>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</si>
  <si>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</si>
  <si>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</si>
  <si>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</si>
  <si>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</si>
  <si>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</si>
  <si>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</si>
  <si>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BASQUETEBOL MASCULINO | PLAYOFFS</t>
  </si>
  <si>
    <t>23h30</t>
  </si>
  <si>
    <t>20h30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</si>
  <si>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</si>
  <si>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</si>
  <si>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</si>
  <si>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</si>
  <si>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</si>
  <si>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</si>
  <si>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</si>
  <si>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FUTSAL FEMININO | FASE LIGA</t>
  </si>
  <si>
    <t>22h45</t>
  </si>
  <si>
    <t>21h45</t>
  </si>
  <si>
    <t>CBM</t>
  </si>
  <si>
    <t>18h15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</si>
  <si>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</si>
  <si>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</si>
  <si>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</si>
  <si>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FUTSAL FEMININO | PLAYOFFS</t>
  </si>
  <si>
    <t>2 (5)</t>
  </si>
  <si>
    <t>2 (4)</t>
  </si>
  <si>
    <t xml:space="preserve">FUTSAL MASCULINO - 1ª DIVISÃO </t>
  </si>
  <si>
    <t xml:space="preserve">CLASSIFICAÇÃO </t>
  </si>
  <si>
    <t>18h00</t>
  </si>
  <si>
    <t>Finanças</t>
  </si>
  <si>
    <t>Eng. Química</t>
  </si>
  <si>
    <t>Bioquímica</t>
  </si>
  <si>
    <t>Enfermagem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</si>
  <si>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</si>
  <si>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</si>
  <si>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</si>
  <si>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</si>
  <si>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</si>
  <si>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</si>
  <si>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</si>
  <si>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</si>
  <si>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</si>
  <si>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</si>
  <si>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</si>
  <si>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</si>
  <si>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</si>
  <si>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</si>
  <si>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</si>
  <si>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</si>
  <si>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</si>
  <si>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</si>
  <si>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| PLAYOFF MANUTENÇÃO/PROMOÇÃO</t>
  </si>
  <si>
    <t>1 (4)</t>
  </si>
  <si>
    <t>1 (3)</t>
  </si>
  <si>
    <t>FUTSAL MASCULINO | PLAYOFFS</t>
  </si>
  <si>
    <t>3 (6)</t>
  </si>
  <si>
    <t>3 (5)</t>
  </si>
  <si>
    <t>1 (8)</t>
  </si>
  <si>
    <t>1 (7)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</si>
  <si>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</si>
  <si>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</si>
  <si>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</si>
  <si>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</si>
  <si>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</si>
  <si>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</si>
  <si>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</si>
  <si>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</si>
  <si>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</si>
  <si>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</si>
  <si>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</si>
  <si>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</si>
  <si>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</si>
  <si>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</si>
  <si>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</si>
  <si>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</si>
  <si>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</si>
  <si>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</si>
  <si>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</si>
  <si>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</si>
  <si>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</si>
  <si>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</si>
  <si>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</si>
  <si>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</si>
  <si>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</si>
  <si>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</si>
  <si>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</si>
  <si>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</si>
  <si>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</si>
  <si>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</si>
  <si>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</si>
  <si>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</si>
  <si>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</si>
  <si>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</si>
  <si>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</si>
  <si>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</si>
  <si>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</si>
  <si>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</si>
  <si>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</si>
  <si>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VOLEIBOL MASCULINO | PLAYOFFS</t>
  </si>
  <si>
    <t>Administação Pública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</si>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</sst>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"/>
    <numFmt numFmtId="165" formatCode="dd/mmm"/>
    <numFmt numFmtId="166" formatCode="d/mmmm"/>
    <numFmt numFmtId="167" formatCode="d/m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CC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ill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ill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ill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ill="1" applyFon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ill="1" applyFont="1">
      <alignment horizontal="center" shrinkToFit="0" vertical="bottom" wrapText="0"/>
    </xf>
    <xf borderId="5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ill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ill="1" applyFont="1">
      <alignment horizontal="center" shrinkToFit="0" wrapText="0"/>
    </xf>
    <xf borderId="0" fillId="3" fontId="10" numFmtId="0" xfId="0" applyAlignment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ill="1" applyFont="1">
      <alignment horizontal="center" vertical="bottom"/>
    </xf>
    <xf borderId="8" fillId="9" fontId="1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ill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8" fillId="9" fontId="17" numFmtId="0" xfId="0" applyAlignment="1" applyBorder="1" applyFill="1" applyFont="1">
      <alignment horizontal="center" readingOrder="0" vertical="center"/>
    </xf>
    <xf borderId="1" fillId="3" fontId="10" numFmtId="0" xfId="0" applyAlignment="1" applyBorder="1" applyFill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1" fillId="3" fontId="8" numFmtId="0" xfId="0" applyAlignment="1" applyBorder="1" applyFill="1" applyFont="1">
      <alignment horizontal="center" shrinkToFit="0" wrapText="0"/>
    </xf>
    <xf borderId="1" fillId="3" fontId="8" numFmtId="0" xfId="0" applyAlignment="1" applyBorder="1" applyFill="1" applyFont="1">
      <alignment horizontal="center" shrinkToFit="0" vertical="bottom" wrapText="0"/>
    </xf>
    <xf borderId="1" fillId="3" fontId="8" numFmtId="0" xfId="0" applyAlignment="1" applyBorder="1" applyFill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1" fillId="2" fontId="3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ill="1" applyFont="1">
      <alignment horizontal="center"/>
    </xf>
    <xf borderId="5" fillId="6" fontId="3" numFmtId="0" xfId="0" applyAlignment="1" applyBorder="1" applyFill="1" applyFont="1">
      <alignment horizontal="center" shrinkToFit="0" vertical="bottom" wrapText="0"/>
    </xf>
    <xf borderId="1" fillId="8" fontId="3" numFmtId="0" xfId="0" applyAlignment="1" applyBorder="1" applyFill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9" fillId="3" fontId="3" numFmtId="0" xfId="0" applyAlignment="1" applyBorder="1" applyFill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10" fontId="19" numFmtId="0" xfId="0" applyBorder="1" applyFill="1" applyFont="1"/>
    <xf borderId="0" fillId="0" fontId="15" numFmtId="0" xfId="0" applyAlignment="1" applyFont="1">
      <alignment horizontal="left" readingOrder="0"/>
    </xf>
    <xf borderId="8" fillId="9" fontId="20" numFmtId="0" xfId="0" applyAlignment="1" applyBorder="1" applyFill="1" applyFont="1">
      <alignment horizontal="center" readingOrder="0" vertical="center"/>
    </xf>
    <xf borderId="2" fillId="2" fontId="10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ill="1" applyFont="1">
      <alignment horizontal="center" shrinkToFit="0" vertical="bottom" wrapText="0"/>
    </xf>
    <xf borderId="0" fillId="3" fontId="10" numFmtId="0" xfId="0" applyAlignment="1" applyFill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ill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ill="1" applyFont="1">
      <alignment horizontal="left" shrinkToFit="0" vertical="bottom" wrapText="0"/>
    </xf>
    <xf borderId="0" fillId="3" fontId="3" numFmtId="0" xfId="0" applyFill="1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2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bottom" wrapText="0"/>
    </xf>
    <xf borderId="1" fillId="9" fontId="23" numFmtId="0" xfId="0" applyAlignment="1" applyBorder="1" applyFill="1" applyFont="1">
      <alignment horizontal="center" vertical="center"/>
    </xf>
    <xf borderId="4" fillId="9" fontId="23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3" fillId="0" fontId="26" numFmtId="0" xfId="0" applyAlignment="1" applyBorder="1" applyFont="1">
      <alignment shrinkToFit="0" vertical="center" wrapText="1"/>
    </xf>
    <xf borderId="13" fillId="0" fontId="12" numFmtId="167" xfId="0" applyAlignment="1" applyBorder="1" applyFont="1" applyNumberFormat="1">
      <alignment horizontal="left" vertical="center"/>
    </xf>
    <xf borderId="13" fillId="0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151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63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3" width="12.63"/>
    <col customWidth="1" hidden="1" min="24" max="24" width="14.63"/>
    <col hidden="1" min="25" max="29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/>
      <c r="G3" s="16" t="s">
        <v>24</v>
      </c>
      <c r="H3" s="15"/>
      <c r="I3" s="17" t="s">
        <v>25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23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26</v>
      </c>
      <c r="Y3" s="21" t="s">
        <v>13</v>
      </c>
      <c r="Z3" s="21" t="s">
        <v>27</v>
      </c>
      <c r="AA3" s="21" t="s">
        <v>28</v>
      </c>
      <c r="AB3" s="21" t="s">
        <v>19</v>
      </c>
      <c r="AC3" s="2"/>
      <c r="AD3" s="2"/>
      <c r="AE3" s="22" t="s">
        <v>29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30</v>
      </c>
      <c r="D4" s="13" t="s">
        <v>22</v>
      </c>
      <c r="E4" s="17" t="s">
        <v>31</v>
      </c>
      <c r="F4" s="15">
        <v>26.0</v>
      </c>
      <c r="G4" s="16" t="s">
        <v>24</v>
      </c>
      <c r="H4" s="15">
        <v>17.0</v>
      </c>
      <c r="I4" s="17" t="s">
        <v>32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25</v>
      </c>
      <c r="P4" s="18">
        <f t="shared" si="3"/>
        <v>18</v>
      </c>
      <c r="Q4" s="18">
        <f t="shared" si="4"/>
        <v>4</v>
      </c>
      <c r="R4" s="20">
        <f t="shared" si="5"/>
        <v>1</v>
      </c>
      <c r="S4" s="20">
        <f t="shared" si="6"/>
        <v>4</v>
      </c>
      <c r="T4" s="18">
        <f t="shared" si="7"/>
        <v>195</v>
      </c>
      <c r="U4" s="20">
        <f t="shared" si="8"/>
        <v>194</v>
      </c>
      <c r="V4" s="18">
        <f t="shared" si="9"/>
        <v>1</v>
      </c>
      <c r="W4" s="2"/>
      <c r="X4" s="26" t="s">
        <v>33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34</v>
      </c>
      <c r="AF4" s="28" t="s">
        <v>33</v>
      </c>
      <c r="AG4" s="23">
        <v>23.0</v>
      </c>
      <c r="AH4" s="23">
        <v>6.0</v>
      </c>
      <c r="AI4" s="24">
        <v>2.0</v>
      </c>
      <c r="AJ4" s="23">
        <v>1.0</v>
      </c>
      <c r="AK4" s="23">
        <v>185.0</v>
      </c>
      <c r="AL4" s="24">
        <v>133.0</v>
      </c>
      <c r="AM4" s="23">
        <v>52.0</v>
      </c>
      <c r="AN4" s="18"/>
    </row>
    <row r="5" ht="15.75" customHeight="1">
      <c r="A5" s="25"/>
      <c r="B5" s="11">
        <v>45951.0</v>
      </c>
      <c r="C5" s="12" t="s">
        <v>35</v>
      </c>
      <c r="D5" s="13" t="s">
        <v>22</v>
      </c>
      <c r="E5" s="17" t="s">
        <v>36</v>
      </c>
      <c r="F5" s="15">
        <v>13.0</v>
      </c>
      <c r="G5" s="16" t="s">
        <v>24</v>
      </c>
      <c r="H5" s="15">
        <v>13.0</v>
      </c>
      <c r="I5" s="17" t="s">
        <v>33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31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37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38</v>
      </c>
      <c r="AF5" s="27" t="s">
        <v>36</v>
      </c>
      <c r="AG5" s="23">
        <v>22.0</v>
      </c>
      <c r="AH5" s="23">
        <v>6.0</v>
      </c>
      <c r="AI5" s="24">
        <v>1.0</v>
      </c>
      <c r="AJ5" s="23">
        <v>2.0</v>
      </c>
      <c r="AK5" s="23">
        <v>210.0</v>
      </c>
      <c r="AL5" s="24">
        <v>185.0</v>
      </c>
      <c r="AM5" s="23">
        <v>25.0</v>
      </c>
      <c r="AN5" s="18"/>
    </row>
    <row r="6" ht="15.75" customHeight="1">
      <c r="A6" s="25"/>
      <c r="B6" s="11">
        <v>45953.0</v>
      </c>
      <c r="C6" s="12" t="s">
        <v>30</v>
      </c>
      <c r="D6" s="13" t="s">
        <v>22</v>
      </c>
      <c r="E6" s="17" t="s">
        <v>39</v>
      </c>
      <c r="F6" s="15">
        <v>16.0</v>
      </c>
      <c r="G6" s="16" t="s">
        <v>24</v>
      </c>
      <c r="H6" s="15">
        <v>25.0</v>
      </c>
      <c r="I6" s="17" t="s">
        <v>40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32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41</v>
      </c>
      <c r="AF6" s="23" t="s">
        <v>42</v>
      </c>
      <c r="AG6" s="23">
        <v>20.0</v>
      </c>
      <c r="AH6" s="23">
        <v>5.0</v>
      </c>
      <c r="AI6" s="24">
        <v>1.0</v>
      </c>
      <c r="AJ6" s="23">
        <v>3.0</v>
      </c>
      <c r="AK6" s="23">
        <v>217.0</v>
      </c>
      <c r="AL6" s="24">
        <v>204.0</v>
      </c>
      <c r="AM6" s="23">
        <v>13.0</v>
      </c>
      <c r="AN6" s="18"/>
    </row>
    <row r="7" ht="15.75" customHeight="1">
      <c r="A7" s="25"/>
      <c r="B7" s="11">
        <v>45953.0</v>
      </c>
      <c r="C7" s="12" t="s">
        <v>35</v>
      </c>
      <c r="D7" s="13" t="s">
        <v>22</v>
      </c>
      <c r="E7" s="17" t="s">
        <v>43</v>
      </c>
      <c r="F7" s="15">
        <v>17.0</v>
      </c>
      <c r="G7" s="16" t="s">
        <v>24</v>
      </c>
      <c r="H7" s="15">
        <v>26.0</v>
      </c>
      <c r="I7" s="17" t="s">
        <v>42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36</v>
      </c>
      <c r="P7" s="18">
        <f t="shared" si="3"/>
        <v>22</v>
      </c>
      <c r="Q7" s="18">
        <f t="shared" si="4"/>
        <v>6</v>
      </c>
      <c r="R7" s="20">
        <f t="shared" si="5"/>
        <v>1</v>
      </c>
      <c r="S7" s="20">
        <f t="shared" si="6"/>
        <v>2</v>
      </c>
      <c r="T7" s="18">
        <f t="shared" si="7"/>
        <v>210</v>
      </c>
      <c r="U7" s="20">
        <f t="shared" si="8"/>
        <v>185</v>
      </c>
      <c r="V7" s="18">
        <f t="shared" si="9"/>
        <v>25</v>
      </c>
      <c r="W7" s="2"/>
      <c r="X7" s="3"/>
      <c r="Y7" s="2"/>
      <c r="Z7" s="2"/>
      <c r="AA7" s="2"/>
      <c r="AB7" s="2"/>
      <c r="AC7" s="2"/>
      <c r="AD7" s="2"/>
      <c r="AE7" s="22" t="s">
        <v>44</v>
      </c>
      <c r="AF7" s="23" t="s">
        <v>43</v>
      </c>
      <c r="AG7" s="23">
        <v>20.0</v>
      </c>
      <c r="AH7" s="23">
        <v>5.0</v>
      </c>
      <c r="AI7" s="24">
        <v>1.0</v>
      </c>
      <c r="AJ7" s="23">
        <v>3.0</v>
      </c>
      <c r="AK7" s="23">
        <v>173.0</v>
      </c>
      <c r="AL7" s="24">
        <v>182.0</v>
      </c>
      <c r="AM7" s="23">
        <v>-9.0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24</v>
      </c>
      <c r="H8" s="16"/>
      <c r="I8" s="17" t="s">
        <v>45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33</v>
      </c>
      <c r="P8" s="18">
        <f t="shared" si="3"/>
        <v>23</v>
      </c>
      <c r="Q8" s="18">
        <f t="shared" si="4"/>
        <v>6</v>
      </c>
      <c r="R8" s="20">
        <f t="shared" si="5"/>
        <v>2</v>
      </c>
      <c r="S8" s="20">
        <f t="shared" si="6"/>
        <v>1</v>
      </c>
      <c r="T8" s="18">
        <f t="shared" si="7"/>
        <v>185</v>
      </c>
      <c r="U8" s="20">
        <f t="shared" si="8"/>
        <v>133</v>
      </c>
      <c r="V8" s="18">
        <f t="shared" si="9"/>
        <v>52</v>
      </c>
      <c r="W8" s="2"/>
      <c r="X8" s="6" t="s">
        <v>46</v>
      </c>
      <c r="Y8" s="8"/>
      <c r="Z8" s="32"/>
      <c r="AA8" s="32"/>
      <c r="AB8" s="32"/>
      <c r="AC8" s="2"/>
      <c r="AD8" s="2"/>
      <c r="AE8" s="22" t="s">
        <v>47</v>
      </c>
      <c r="AF8" s="23" t="s">
        <v>25</v>
      </c>
      <c r="AG8" s="23">
        <v>18.0</v>
      </c>
      <c r="AH8" s="23">
        <v>4.0</v>
      </c>
      <c r="AI8" s="24">
        <v>1.0</v>
      </c>
      <c r="AJ8" s="23">
        <v>4.0</v>
      </c>
      <c r="AK8" s="23">
        <v>195.0</v>
      </c>
      <c r="AL8" s="24">
        <v>194.0</v>
      </c>
      <c r="AM8" s="23">
        <v>1.0</v>
      </c>
      <c r="AN8" s="18"/>
    </row>
    <row r="9" ht="15.75" customHeight="1">
      <c r="A9" s="10">
        <v>2.0</v>
      </c>
      <c r="B9" s="11"/>
      <c r="C9" s="12"/>
      <c r="D9" s="12"/>
      <c r="E9" s="17" t="s">
        <v>25</v>
      </c>
      <c r="F9" s="15"/>
      <c r="G9" s="16" t="s">
        <v>24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39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26</v>
      </c>
      <c r="Y9" s="21" t="s">
        <v>13</v>
      </c>
      <c r="Z9" s="33"/>
      <c r="AC9" s="2"/>
      <c r="AD9" s="2"/>
      <c r="AE9" s="22" t="s">
        <v>48</v>
      </c>
      <c r="AF9" s="23" t="s">
        <v>31</v>
      </c>
      <c r="AG9" s="23">
        <v>17.0</v>
      </c>
      <c r="AH9" s="23">
        <v>3.0</v>
      </c>
      <c r="AI9" s="24">
        <v>2.0</v>
      </c>
      <c r="AJ9" s="23">
        <v>4.0</v>
      </c>
      <c r="AK9" s="23">
        <v>171.0</v>
      </c>
      <c r="AL9" s="24">
        <v>173.0</v>
      </c>
      <c r="AM9" s="23">
        <v>-2.0</v>
      </c>
      <c r="AN9" s="18"/>
    </row>
    <row r="10" ht="15.75" customHeight="1">
      <c r="A10" s="25"/>
      <c r="B10" s="11">
        <v>45972.0</v>
      </c>
      <c r="C10" s="12" t="s">
        <v>35</v>
      </c>
      <c r="D10" s="12" t="s">
        <v>22</v>
      </c>
      <c r="E10" s="17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40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43</v>
      </c>
      <c r="Y10" s="27">
        <v>5.0</v>
      </c>
      <c r="AC10" s="2"/>
      <c r="AD10" s="2"/>
      <c r="AE10" s="22">
        <v>8.0</v>
      </c>
      <c r="AF10" s="23" t="s">
        <v>39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49</v>
      </c>
      <c r="D11" s="12" t="s">
        <v>22</v>
      </c>
      <c r="E11" s="17" t="s">
        <v>33</v>
      </c>
      <c r="F11" s="15">
        <v>18.0</v>
      </c>
      <c r="G11" s="16" t="s">
        <v>24</v>
      </c>
      <c r="H11" s="15">
        <v>16.0</v>
      </c>
      <c r="I11" s="17" t="s">
        <v>31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43</v>
      </c>
      <c r="P11" s="18">
        <f t="shared" si="3"/>
        <v>20</v>
      </c>
      <c r="Q11" s="18">
        <f t="shared" si="4"/>
        <v>5</v>
      </c>
      <c r="R11" s="20">
        <f t="shared" si="5"/>
        <v>1</v>
      </c>
      <c r="S11" s="20">
        <f t="shared" si="6"/>
        <v>3</v>
      </c>
      <c r="T11" s="18">
        <f t="shared" si="7"/>
        <v>173</v>
      </c>
      <c r="U11" s="20">
        <f t="shared" si="8"/>
        <v>182</v>
      </c>
      <c r="V11" s="18">
        <f t="shared" si="9"/>
        <v>-9</v>
      </c>
      <c r="W11" s="2"/>
      <c r="X11" s="27" t="s">
        <v>39</v>
      </c>
      <c r="Y11" s="27">
        <v>4.0</v>
      </c>
      <c r="AC11" s="2"/>
      <c r="AD11" s="2"/>
      <c r="AE11" s="22">
        <v>9.0</v>
      </c>
      <c r="AF11" s="23" t="s">
        <v>32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21</v>
      </c>
      <c r="D12" s="12" t="s">
        <v>22</v>
      </c>
      <c r="E12" s="17" t="s">
        <v>40</v>
      </c>
      <c r="F12" s="15">
        <v>22.0</v>
      </c>
      <c r="G12" s="16" t="s">
        <v>24</v>
      </c>
      <c r="H12" s="15">
        <v>14.0</v>
      </c>
      <c r="I12" s="17" t="s">
        <v>36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42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31</v>
      </c>
      <c r="Y12" s="27">
        <v>3.0</v>
      </c>
      <c r="AC12" s="2"/>
      <c r="AD12" s="2"/>
      <c r="AE12" s="34">
        <v>10.0</v>
      </c>
      <c r="AF12" s="23" t="s">
        <v>45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30</v>
      </c>
      <c r="D13" s="12" t="s">
        <v>22</v>
      </c>
      <c r="E13" s="17" t="s">
        <v>42</v>
      </c>
      <c r="F13" s="15">
        <v>23.0</v>
      </c>
      <c r="G13" s="16" t="s">
        <v>24</v>
      </c>
      <c r="H13" s="15">
        <v>22.0</v>
      </c>
      <c r="I13" s="17" t="s">
        <v>39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45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23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35</v>
      </c>
      <c r="D14" s="12" t="s">
        <v>22</v>
      </c>
      <c r="E14" s="17" t="s">
        <v>45</v>
      </c>
      <c r="F14" s="15">
        <v>20.0</v>
      </c>
      <c r="G14" s="16" t="s">
        <v>24</v>
      </c>
      <c r="H14" s="15">
        <v>25.0</v>
      </c>
      <c r="I14" s="17" t="s">
        <v>43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50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49</v>
      </c>
      <c r="D15" s="12" t="s">
        <v>22</v>
      </c>
      <c r="E15" s="17" t="s">
        <v>25</v>
      </c>
      <c r="F15" s="15">
        <v>26.0</v>
      </c>
      <c r="G15" s="16" t="s">
        <v>24</v>
      </c>
      <c r="H15" s="15">
        <v>22.0</v>
      </c>
      <c r="I15" s="17" t="s">
        <v>32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21</v>
      </c>
      <c r="D16" s="12" t="s">
        <v>22</v>
      </c>
      <c r="E16" s="14" t="s">
        <v>23</v>
      </c>
      <c r="F16" s="15"/>
      <c r="G16" s="16" t="s">
        <v>24</v>
      </c>
      <c r="H16" s="15"/>
      <c r="I16" s="17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51</v>
      </c>
      <c r="D17" s="12" t="s">
        <v>22</v>
      </c>
      <c r="E17" s="17" t="s">
        <v>31</v>
      </c>
      <c r="F17" s="15">
        <v>12.0</v>
      </c>
      <c r="G17" s="16" t="s">
        <v>24</v>
      </c>
      <c r="H17" s="15">
        <v>18.0</v>
      </c>
      <c r="I17" s="17" t="s">
        <v>40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30</v>
      </c>
      <c r="D18" s="12" t="s">
        <v>22</v>
      </c>
      <c r="E18" s="17" t="s">
        <v>36</v>
      </c>
      <c r="F18" s="15">
        <v>32.0</v>
      </c>
      <c r="G18" s="16" t="s">
        <v>24</v>
      </c>
      <c r="H18" s="15">
        <v>27.0</v>
      </c>
      <c r="I18" s="17" t="s">
        <v>42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35</v>
      </c>
      <c r="D19" s="12" t="s">
        <v>22</v>
      </c>
      <c r="E19" s="17" t="s">
        <v>39</v>
      </c>
      <c r="F19" s="15">
        <v>30.0</v>
      </c>
      <c r="G19" s="16" t="s">
        <v>24</v>
      </c>
      <c r="H19" s="15">
        <v>22.0</v>
      </c>
      <c r="I19" s="17" t="s">
        <v>45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24</v>
      </c>
      <c r="H20" s="16"/>
      <c r="I20" s="17" t="s">
        <v>43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32</v>
      </c>
      <c r="F21" s="16"/>
      <c r="G21" s="16" t="s">
        <v>24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35</v>
      </c>
      <c r="D22" s="12" t="s">
        <v>22</v>
      </c>
      <c r="E22" s="17" t="s">
        <v>33</v>
      </c>
      <c r="F22" s="15">
        <v>22.0</v>
      </c>
      <c r="G22" s="16" t="s">
        <v>24</v>
      </c>
      <c r="H22" s="15">
        <v>19.0</v>
      </c>
      <c r="I22" s="17" t="s">
        <v>25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49</v>
      </c>
      <c r="D23" s="12" t="s">
        <v>22</v>
      </c>
      <c r="E23" s="17" t="s">
        <v>40</v>
      </c>
      <c r="F23" s="15"/>
      <c r="G23" s="16" t="s">
        <v>24</v>
      </c>
      <c r="H23" s="15"/>
      <c r="I23" s="14" t="s">
        <v>23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21</v>
      </c>
      <c r="D24" s="12" t="s">
        <v>22</v>
      </c>
      <c r="E24" s="17" t="s">
        <v>42</v>
      </c>
      <c r="F24" s="15">
        <v>30.0</v>
      </c>
      <c r="G24" s="16" t="s">
        <v>24</v>
      </c>
      <c r="H24" s="15">
        <v>25.0</v>
      </c>
      <c r="I24" s="17" t="s">
        <v>31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30</v>
      </c>
      <c r="D25" s="12" t="s">
        <v>22</v>
      </c>
      <c r="E25" s="17" t="s">
        <v>45</v>
      </c>
      <c r="F25" s="15">
        <v>16.0</v>
      </c>
      <c r="G25" s="16" t="s">
        <v>24</v>
      </c>
      <c r="H25" s="15">
        <v>19.0</v>
      </c>
      <c r="I25" s="17" t="s">
        <v>36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35</v>
      </c>
      <c r="D26" s="12" t="s">
        <v>22</v>
      </c>
      <c r="E26" s="17" t="s">
        <v>43</v>
      </c>
      <c r="F26" s="15">
        <v>19.0</v>
      </c>
      <c r="G26" s="16" t="s">
        <v>24</v>
      </c>
      <c r="H26" s="15">
        <v>18.0</v>
      </c>
      <c r="I26" s="17" t="s">
        <v>39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49</v>
      </c>
      <c r="D27" s="12" t="s">
        <v>22</v>
      </c>
      <c r="E27" s="17" t="s">
        <v>32</v>
      </c>
      <c r="F27" s="15">
        <v>16.0</v>
      </c>
      <c r="G27" s="16" t="s">
        <v>24</v>
      </c>
      <c r="H27" s="15">
        <v>31.0</v>
      </c>
      <c r="I27" s="17" t="s">
        <v>33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21</v>
      </c>
      <c r="D28" s="12" t="s">
        <v>22</v>
      </c>
      <c r="E28" s="17" t="s">
        <v>25</v>
      </c>
      <c r="F28" s="15">
        <v>22.0</v>
      </c>
      <c r="G28" s="16" t="s">
        <v>24</v>
      </c>
      <c r="H28" s="15">
        <v>27.0</v>
      </c>
      <c r="I28" s="17" t="s">
        <v>40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23</v>
      </c>
      <c r="F29" s="16"/>
      <c r="G29" s="16" t="s">
        <v>24</v>
      </c>
      <c r="H29" s="16"/>
      <c r="I29" s="17" t="s">
        <v>42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35</v>
      </c>
      <c r="D30" s="12" t="s">
        <v>22</v>
      </c>
      <c r="E30" s="17" t="s">
        <v>31</v>
      </c>
      <c r="F30" s="15">
        <v>21.0</v>
      </c>
      <c r="G30" s="16" t="s">
        <v>24</v>
      </c>
      <c r="H30" s="15">
        <v>13.0</v>
      </c>
      <c r="I30" s="17" t="s">
        <v>45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49</v>
      </c>
      <c r="D31" s="12" t="s">
        <v>22</v>
      </c>
      <c r="E31" s="17" t="s">
        <v>36</v>
      </c>
      <c r="F31" s="15">
        <v>23.0</v>
      </c>
      <c r="G31" s="16" t="s">
        <v>24</v>
      </c>
      <c r="H31" s="15">
        <v>26.0</v>
      </c>
      <c r="I31" s="17" t="s">
        <v>43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24</v>
      </c>
      <c r="H32" s="16"/>
      <c r="I32" s="17" t="s">
        <v>39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33</v>
      </c>
      <c r="F33" s="16"/>
      <c r="G33" s="16" t="s">
        <v>24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35</v>
      </c>
      <c r="D34" s="12" t="s">
        <v>22</v>
      </c>
      <c r="E34" s="17" t="s">
        <v>40</v>
      </c>
      <c r="F34" s="15">
        <v>26.0</v>
      </c>
      <c r="G34" s="16" t="s">
        <v>24</v>
      </c>
      <c r="H34" s="15">
        <v>24.0</v>
      </c>
      <c r="I34" s="17" t="s">
        <v>32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35</v>
      </c>
      <c r="D35" s="12" t="s">
        <v>22</v>
      </c>
      <c r="E35" s="17" t="s">
        <v>42</v>
      </c>
      <c r="F35" s="15">
        <v>24.0</v>
      </c>
      <c r="G35" s="16" t="s">
        <v>24</v>
      </c>
      <c r="H35" s="15">
        <v>23.0</v>
      </c>
      <c r="I35" s="17" t="s">
        <v>25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30</v>
      </c>
      <c r="D37" s="12" t="s">
        <v>22</v>
      </c>
      <c r="E37" s="17" t="s">
        <v>43</v>
      </c>
      <c r="F37" s="15">
        <v>16.0</v>
      </c>
      <c r="G37" s="16" t="s">
        <v>24</v>
      </c>
      <c r="H37" s="15">
        <v>16.0</v>
      </c>
      <c r="I37" s="17" t="s">
        <v>31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35</v>
      </c>
      <c r="D38" s="12" t="s">
        <v>22</v>
      </c>
      <c r="E38" s="17" t="s">
        <v>39</v>
      </c>
      <c r="F38" s="15">
        <v>27.0</v>
      </c>
      <c r="G38" s="16" t="s">
        <v>24</v>
      </c>
      <c r="H38" s="15">
        <v>36.0</v>
      </c>
      <c r="I38" s="17" t="s">
        <v>36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30</v>
      </c>
      <c r="D39" s="12" t="s">
        <v>22</v>
      </c>
      <c r="E39" s="17" t="s">
        <v>33</v>
      </c>
      <c r="F39" s="15">
        <v>18.0</v>
      </c>
      <c r="G39" s="16" t="s">
        <v>24</v>
      </c>
      <c r="H39" s="15">
        <v>16.0</v>
      </c>
      <c r="I39" s="17" t="s">
        <v>40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35</v>
      </c>
      <c r="D40" s="12" t="s">
        <v>22</v>
      </c>
      <c r="E40" s="17" t="s">
        <v>32</v>
      </c>
      <c r="F40" s="15">
        <v>23.0</v>
      </c>
      <c r="G40" s="16" t="s">
        <v>24</v>
      </c>
      <c r="H40" s="15">
        <v>22.0</v>
      </c>
      <c r="I40" s="17" t="s">
        <v>42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35</v>
      </c>
      <c r="D41" s="39" t="s">
        <v>22</v>
      </c>
      <c r="E41" s="17" t="s">
        <v>25</v>
      </c>
      <c r="F41" s="15">
        <v>24.0</v>
      </c>
      <c r="G41" s="16" t="s">
        <v>24</v>
      </c>
      <c r="H41" s="15">
        <v>18.0</v>
      </c>
      <c r="I41" s="17" t="s">
        <v>45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23</v>
      </c>
      <c r="F42" s="16"/>
      <c r="G42" s="16" t="s">
        <v>24</v>
      </c>
      <c r="H42" s="16"/>
      <c r="I42" s="17" t="s">
        <v>43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35</v>
      </c>
      <c r="D43" s="12" t="s">
        <v>22</v>
      </c>
      <c r="E43" s="17" t="s">
        <v>31</v>
      </c>
      <c r="F43" s="15">
        <v>24.0</v>
      </c>
      <c r="G43" s="16" t="s">
        <v>24</v>
      </c>
      <c r="H43" s="15">
        <v>21.0</v>
      </c>
      <c r="I43" s="17" t="s">
        <v>39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24</v>
      </c>
      <c r="H44" s="16"/>
      <c r="I44" s="17" t="s">
        <v>36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40</v>
      </c>
      <c r="F45" s="16"/>
      <c r="G45" s="16" t="s">
        <v>24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49</v>
      </c>
      <c r="D46" s="12" t="s">
        <v>22</v>
      </c>
      <c r="E46" s="17" t="s">
        <v>42</v>
      </c>
      <c r="F46" s="15">
        <v>22.0</v>
      </c>
      <c r="G46" s="16" t="s">
        <v>24</v>
      </c>
      <c r="H46" s="15">
        <v>22.0</v>
      </c>
      <c r="I46" s="17" t="s">
        <v>33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21</v>
      </c>
      <c r="D47" s="12" t="s">
        <v>22</v>
      </c>
      <c r="E47" s="17" t="s">
        <v>45</v>
      </c>
      <c r="F47" s="15">
        <v>22.0</v>
      </c>
      <c r="G47" s="16" t="s">
        <v>24</v>
      </c>
      <c r="H47" s="15">
        <v>26.0</v>
      </c>
      <c r="I47" s="17" t="s">
        <v>32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30</v>
      </c>
      <c r="D48" s="12" t="s">
        <v>22</v>
      </c>
      <c r="E48" s="17" t="s">
        <v>43</v>
      </c>
      <c r="F48" s="15">
        <v>18.0</v>
      </c>
      <c r="G48" s="16" t="s">
        <v>24</v>
      </c>
      <c r="H48" s="15">
        <v>20.0</v>
      </c>
      <c r="I48" s="17" t="s">
        <v>25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39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35</v>
      </c>
      <c r="D50" s="12" t="s">
        <v>22</v>
      </c>
      <c r="E50" s="17" t="s">
        <v>36</v>
      </c>
      <c r="F50" s="15">
        <v>25.0</v>
      </c>
      <c r="G50" s="16" t="s">
        <v>24</v>
      </c>
      <c r="H50" s="15">
        <v>16.0</v>
      </c>
      <c r="I50" s="17" t="s">
        <v>31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52</v>
      </c>
      <c r="D51" s="12" t="s">
        <v>22</v>
      </c>
      <c r="E51" s="17" t="s">
        <v>40</v>
      </c>
      <c r="F51" s="15">
        <v>27.0</v>
      </c>
      <c r="G51" s="16" t="s">
        <v>24</v>
      </c>
      <c r="H51" s="15">
        <v>20.0</v>
      </c>
      <c r="I51" s="17" t="s">
        <v>42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49</v>
      </c>
      <c r="D52" s="12" t="s">
        <v>22</v>
      </c>
      <c r="E52" s="17" t="s">
        <v>33</v>
      </c>
      <c r="F52" s="15">
        <v>15.0</v>
      </c>
      <c r="G52" s="16" t="s">
        <v>24</v>
      </c>
      <c r="H52" s="15">
        <v>0.0</v>
      </c>
      <c r="I52" s="17" t="s">
        <v>45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53</v>
      </c>
      <c r="D53" s="12" t="s">
        <v>22</v>
      </c>
      <c r="E53" s="17" t="s">
        <v>32</v>
      </c>
      <c r="F53" s="15">
        <v>19.0</v>
      </c>
      <c r="G53" s="16" t="s">
        <v>24</v>
      </c>
      <c r="H53" s="15">
        <v>22.0</v>
      </c>
      <c r="I53" s="17" t="s">
        <v>43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21</v>
      </c>
      <c r="D54" s="12" t="s">
        <v>22</v>
      </c>
      <c r="E54" s="17" t="s">
        <v>25</v>
      </c>
      <c r="F54" s="15">
        <v>31.0</v>
      </c>
      <c r="G54" s="16" t="s">
        <v>24</v>
      </c>
      <c r="H54" s="15">
        <v>24.0</v>
      </c>
      <c r="I54" s="17" t="s">
        <v>39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23</v>
      </c>
      <c r="F55" s="16"/>
      <c r="G55" s="16" t="s">
        <v>24</v>
      </c>
      <c r="H55" s="16"/>
      <c r="I55" s="17" t="s">
        <v>36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24</v>
      </c>
      <c r="H56" s="16"/>
      <c r="I56" s="17" t="s">
        <v>31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24</v>
      </c>
      <c r="H57" s="16"/>
      <c r="I57" s="17" t="s">
        <v>42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53</v>
      </c>
      <c r="D58" s="12" t="s">
        <v>22</v>
      </c>
      <c r="E58" s="17" t="s">
        <v>45</v>
      </c>
      <c r="F58" s="15">
        <v>13.0</v>
      </c>
      <c r="G58" s="16" t="s">
        <v>24</v>
      </c>
      <c r="H58" s="15">
        <v>24.0</v>
      </c>
      <c r="I58" s="17" t="s">
        <v>40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46154.0</v>
      </c>
      <c r="C59" s="12" t="s">
        <v>52</v>
      </c>
      <c r="D59" s="12" t="s">
        <v>22</v>
      </c>
      <c r="E59" s="17" t="s">
        <v>43</v>
      </c>
      <c r="F59" s="15">
        <v>14.0</v>
      </c>
      <c r="G59" s="16" t="s">
        <v>24</v>
      </c>
      <c r="H59" s="15">
        <v>10.0</v>
      </c>
      <c r="I59" s="17" t="s">
        <v>33</v>
      </c>
      <c r="J59" s="4"/>
      <c r="K59" s="4">
        <f t="shared" si="1"/>
        <v>3</v>
      </c>
      <c r="L59" s="18">
        <f t="shared" si="2"/>
        <v>1</v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30</v>
      </c>
      <c r="D60" s="12" t="s">
        <v>22</v>
      </c>
      <c r="E60" s="17" t="s">
        <v>39</v>
      </c>
      <c r="F60" s="15">
        <v>15.0</v>
      </c>
      <c r="G60" s="16" t="s">
        <v>24</v>
      </c>
      <c r="H60" s="15">
        <v>0.0</v>
      </c>
      <c r="I60" s="17" t="s">
        <v>32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46154.0</v>
      </c>
      <c r="C61" s="12" t="s">
        <v>53</v>
      </c>
      <c r="D61" s="12" t="s">
        <v>22</v>
      </c>
      <c r="E61" s="17" t="s">
        <v>36</v>
      </c>
      <c r="F61" s="15">
        <v>24.0</v>
      </c>
      <c r="G61" s="16" t="s">
        <v>24</v>
      </c>
      <c r="H61" s="15">
        <v>15.0</v>
      </c>
      <c r="I61" s="17" t="s">
        <v>25</v>
      </c>
      <c r="J61" s="4"/>
      <c r="K61" s="4">
        <f t="shared" si="1"/>
        <v>3</v>
      </c>
      <c r="L61" s="18">
        <f t="shared" si="2"/>
        <v>1</v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54</v>
      </c>
      <c r="D63" s="12" t="s">
        <v>22</v>
      </c>
      <c r="E63" s="17" t="s">
        <v>42</v>
      </c>
      <c r="F63" s="15">
        <v>23.0</v>
      </c>
      <c r="G63" s="16" t="s">
        <v>24</v>
      </c>
      <c r="H63" s="15">
        <v>13.0</v>
      </c>
      <c r="I63" s="17" t="s">
        <v>45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51</v>
      </c>
      <c r="D64" s="12" t="s">
        <v>22</v>
      </c>
      <c r="E64" s="17" t="s">
        <v>40</v>
      </c>
      <c r="F64" s="15">
        <v>30.0</v>
      </c>
      <c r="G64" s="16" t="s">
        <v>24</v>
      </c>
      <c r="H64" s="15">
        <v>16.0</v>
      </c>
      <c r="I64" s="17" t="s">
        <v>43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55</v>
      </c>
      <c r="D65" s="12" t="s">
        <v>22</v>
      </c>
      <c r="E65" s="17" t="s">
        <v>33</v>
      </c>
      <c r="F65" s="15">
        <v>36.0</v>
      </c>
      <c r="G65" s="16" t="s">
        <v>24</v>
      </c>
      <c r="H65" s="15">
        <v>17.0</v>
      </c>
      <c r="I65" s="17" t="s">
        <v>39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52</v>
      </c>
      <c r="D66" s="12" t="s">
        <v>22</v>
      </c>
      <c r="E66" s="17" t="s">
        <v>32</v>
      </c>
      <c r="F66" s="15">
        <v>23.0</v>
      </c>
      <c r="G66" s="16" t="s">
        <v>24</v>
      </c>
      <c r="H66" s="15">
        <v>24.0</v>
      </c>
      <c r="I66" s="17" t="s">
        <v>36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53</v>
      </c>
      <c r="D67" s="12" t="s">
        <v>22</v>
      </c>
      <c r="E67" s="17" t="s">
        <v>25</v>
      </c>
      <c r="F67" s="15">
        <v>15.0</v>
      </c>
      <c r="G67" s="16" t="s">
        <v>24</v>
      </c>
      <c r="H67" s="15">
        <v>15.0</v>
      </c>
      <c r="I67" s="17" t="s">
        <v>31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23</v>
      </c>
      <c r="F68" s="16"/>
      <c r="G68" s="16" t="s">
        <v>24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43" t="s">
        <v>56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57</v>
      </c>
    </row>
    <row r="78" ht="15.75" customHeight="1">
      <c r="A78" s="10">
        <v>1.0</v>
      </c>
      <c r="B78" s="44">
        <v>45950.0</v>
      </c>
      <c r="C78" s="12" t="s">
        <v>49</v>
      </c>
      <c r="D78" s="12" t="s">
        <v>22</v>
      </c>
      <c r="E78" s="45" t="s">
        <v>58</v>
      </c>
      <c r="F78" s="13">
        <v>11.0</v>
      </c>
      <c r="G78" s="16" t="s">
        <v>24</v>
      </c>
      <c r="H78" s="13">
        <v>18.0</v>
      </c>
      <c r="I78" s="45" t="s">
        <v>59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58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6" t="s">
        <v>29</v>
      </c>
      <c r="AF78" s="23" t="str">
        <f t="array" ref="AF78:AM89">SORT(O78:V89,2,FALSE,9,FALSE,8,FALSE())</f>
        <v>Biologia e Geologia</v>
      </c>
      <c r="AG78" s="23">
        <v>29.0</v>
      </c>
      <c r="AH78" s="23">
        <v>9.0</v>
      </c>
      <c r="AI78" s="24">
        <v>1.0</v>
      </c>
      <c r="AJ78" s="24">
        <v>0.0</v>
      </c>
      <c r="AK78" s="23">
        <v>253.0</v>
      </c>
      <c r="AL78" s="24">
        <v>172.0</v>
      </c>
      <c r="AM78" s="23">
        <v>81.0</v>
      </c>
      <c r="AN78" s="18"/>
    </row>
    <row r="79" ht="15.75" customHeight="1">
      <c r="A79" s="25"/>
      <c r="B79" s="44">
        <v>45950.0</v>
      </c>
      <c r="C79" s="12" t="s">
        <v>21</v>
      </c>
      <c r="D79" s="12" t="s">
        <v>22</v>
      </c>
      <c r="E79" s="45" t="s">
        <v>60</v>
      </c>
      <c r="F79" s="13">
        <v>23.0</v>
      </c>
      <c r="G79" s="16" t="s">
        <v>24</v>
      </c>
      <c r="H79" s="13">
        <v>16.0</v>
      </c>
      <c r="I79" s="45" t="s">
        <v>61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62</v>
      </c>
      <c r="P79" s="18">
        <f t="shared" si="13"/>
        <v>18</v>
      </c>
      <c r="Q79" s="18">
        <f t="shared" si="14"/>
        <v>4</v>
      </c>
      <c r="R79" s="20">
        <f t="shared" si="15"/>
        <v>0</v>
      </c>
      <c r="S79" s="20">
        <f t="shared" si="16"/>
        <v>6</v>
      </c>
      <c r="T79" s="18">
        <f t="shared" si="17"/>
        <v>216</v>
      </c>
      <c r="U79" s="20">
        <f t="shared" si="18"/>
        <v>214</v>
      </c>
      <c r="V79" s="18">
        <f t="shared" si="19"/>
        <v>2</v>
      </c>
      <c r="W79" s="2"/>
      <c r="X79" s="2"/>
      <c r="Y79" s="2"/>
      <c r="Z79" s="2"/>
      <c r="AA79" s="2"/>
      <c r="AB79" s="2"/>
      <c r="AC79" s="2"/>
      <c r="AD79" s="2"/>
      <c r="AE79" s="46">
        <v>2.0</v>
      </c>
      <c r="AF79" s="23" t="s">
        <v>63</v>
      </c>
      <c r="AG79" s="23">
        <v>29.0</v>
      </c>
      <c r="AH79" s="23">
        <v>9.0</v>
      </c>
      <c r="AI79" s="24">
        <v>1.0</v>
      </c>
      <c r="AJ79" s="24">
        <v>0.0</v>
      </c>
      <c r="AK79" s="23">
        <v>237.0</v>
      </c>
      <c r="AL79" s="24">
        <v>174.0</v>
      </c>
      <c r="AM79" s="23">
        <v>63.0</v>
      </c>
      <c r="AN79" s="18"/>
    </row>
    <row r="80" ht="15.75" customHeight="1">
      <c r="A80" s="25"/>
      <c r="B80" s="44">
        <v>45950.0</v>
      </c>
      <c r="C80" s="12" t="s">
        <v>30</v>
      </c>
      <c r="D80" s="12" t="s">
        <v>22</v>
      </c>
      <c r="E80" s="45" t="s">
        <v>63</v>
      </c>
      <c r="F80" s="13">
        <v>22.0</v>
      </c>
      <c r="G80" s="16" t="s">
        <v>24</v>
      </c>
      <c r="H80" s="13">
        <v>19.0</v>
      </c>
      <c r="I80" s="45" t="s">
        <v>64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59</v>
      </c>
      <c r="P80" s="18">
        <f t="shared" si="13"/>
        <v>29</v>
      </c>
      <c r="Q80" s="18">
        <f t="shared" si="14"/>
        <v>9</v>
      </c>
      <c r="R80" s="20">
        <f t="shared" si="15"/>
        <v>1</v>
      </c>
      <c r="S80" s="20">
        <f t="shared" si="16"/>
        <v>0</v>
      </c>
      <c r="T80" s="18">
        <f t="shared" si="17"/>
        <v>253</v>
      </c>
      <c r="U80" s="20">
        <f t="shared" si="18"/>
        <v>172</v>
      </c>
      <c r="V80" s="18">
        <f t="shared" si="19"/>
        <v>81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65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4">
        <v>45950.0</v>
      </c>
      <c r="C81" s="12" t="s">
        <v>35</v>
      </c>
      <c r="D81" s="12" t="s">
        <v>22</v>
      </c>
      <c r="E81" s="45" t="s">
        <v>66</v>
      </c>
      <c r="F81" s="13">
        <v>24.0</v>
      </c>
      <c r="G81" s="16" t="s">
        <v>24</v>
      </c>
      <c r="H81" s="13">
        <v>18.0</v>
      </c>
      <c r="I81" s="45" t="s">
        <v>65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67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58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4">
        <v>45951.0</v>
      </c>
      <c r="C82" s="12" t="s">
        <v>49</v>
      </c>
      <c r="D82" s="12" t="s">
        <v>22</v>
      </c>
      <c r="E82" s="45" t="s">
        <v>67</v>
      </c>
      <c r="F82" s="13">
        <v>17.0</v>
      </c>
      <c r="G82" s="16" t="s">
        <v>24</v>
      </c>
      <c r="H82" s="13">
        <v>9.0</v>
      </c>
      <c r="I82" s="45" t="s">
        <v>68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61</v>
      </c>
      <c r="P82" s="18">
        <f t="shared" si="13"/>
        <v>14</v>
      </c>
      <c r="Q82" s="18">
        <f t="shared" si="14"/>
        <v>2</v>
      </c>
      <c r="R82" s="20">
        <f t="shared" si="15"/>
        <v>0</v>
      </c>
      <c r="S82" s="20">
        <f t="shared" si="16"/>
        <v>8</v>
      </c>
      <c r="T82" s="18">
        <f t="shared" si="17"/>
        <v>124</v>
      </c>
      <c r="U82" s="20">
        <f t="shared" si="18"/>
        <v>185</v>
      </c>
      <c r="V82" s="18">
        <f t="shared" si="19"/>
        <v>-61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66</v>
      </c>
      <c r="AG82" s="23">
        <v>22.0</v>
      </c>
      <c r="AH82" s="23">
        <v>6.0</v>
      </c>
      <c r="AI82" s="24">
        <v>0.0</v>
      </c>
      <c r="AJ82" s="24">
        <v>4.0</v>
      </c>
      <c r="AK82" s="23">
        <v>170.0</v>
      </c>
      <c r="AL82" s="24">
        <v>168.0</v>
      </c>
      <c r="AM82" s="23">
        <v>2.0</v>
      </c>
      <c r="AN82" s="18"/>
    </row>
    <row r="83" ht="15.75" customHeight="1">
      <c r="A83" s="25"/>
      <c r="B83" s="44">
        <v>45972.0</v>
      </c>
      <c r="C83" s="12" t="s">
        <v>30</v>
      </c>
      <c r="D83" s="12" t="s">
        <v>22</v>
      </c>
      <c r="E83" s="47" t="s">
        <v>69</v>
      </c>
      <c r="F83" s="13"/>
      <c r="G83" s="16" t="s">
        <v>24</v>
      </c>
      <c r="H83" s="13"/>
      <c r="I83" s="45" t="s">
        <v>62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66</v>
      </c>
      <c r="P83" s="18">
        <f t="shared" si="13"/>
        <v>22</v>
      </c>
      <c r="Q83" s="18">
        <f t="shared" si="14"/>
        <v>6</v>
      </c>
      <c r="R83" s="20">
        <f t="shared" si="15"/>
        <v>0</v>
      </c>
      <c r="S83" s="20">
        <f t="shared" si="16"/>
        <v>4</v>
      </c>
      <c r="T83" s="18">
        <f t="shared" si="17"/>
        <v>170</v>
      </c>
      <c r="U83" s="20">
        <f t="shared" si="18"/>
        <v>168</v>
      </c>
      <c r="V83" s="18">
        <f t="shared" si="19"/>
        <v>2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62</v>
      </c>
      <c r="AG83" s="23">
        <v>18.0</v>
      </c>
      <c r="AH83" s="23">
        <v>4.0</v>
      </c>
      <c r="AI83" s="24">
        <v>0.0</v>
      </c>
      <c r="AJ83" s="24">
        <v>6.0</v>
      </c>
      <c r="AK83" s="23">
        <v>216.0</v>
      </c>
      <c r="AL83" s="24">
        <v>214.0</v>
      </c>
      <c r="AM83" s="23">
        <v>2.0</v>
      </c>
      <c r="AN83" s="18"/>
    </row>
    <row r="84" ht="15.75" customHeight="1">
      <c r="A84" s="10">
        <v>2.0</v>
      </c>
      <c r="B84" s="11">
        <v>45964.0</v>
      </c>
      <c r="C84" s="12" t="s">
        <v>49</v>
      </c>
      <c r="D84" s="12" t="s">
        <v>22</v>
      </c>
      <c r="E84" s="45" t="s">
        <v>59</v>
      </c>
      <c r="F84" s="13"/>
      <c r="G84" s="16" t="s">
        <v>24</v>
      </c>
      <c r="H84" s="13"/>
      <c r="I84" s="48" t="s">
        <v>69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64</v>
      </c>
      <c r="P84" s="18">
        <f t="shared" si="13"/>
        <v>18</v>
      </c>
      <c r="Q84" s="18">
        <f t="shared" si="14"/>
        <v>4</v>
      </c>
      <c r="R84" s="20">
        <f t="shared" si="15"/>
        <v>0</v>
      </c>
      <c r="S84" s="20">
        <f t="shared" si="16"/>
        <v>6</v>
      </c>
      <c r="T84" s="18">
        <f t="shared" si="17"/>
        <v>175</v>
      </c>
      <c r="U84" s="20">
        <f t="shared" si="18"/>
        <v>185</v>
      </c>
      <c r="V84" s="18">
        <f t="shared" si="19"/>
        <v>-10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64</v>
      </c>
      <c r="AG84" s="23">
        <v>18.0</v>
      </c>
      <c r="AH84" s="23">
        <v>4.0</v>
      </c>
      <c r="AI84" s="24">
        <v>0.0</v>
      </c>
      <c r="AJ84" s="24">
        <v>6.0</v>
      </c>
      <c r="AK84" s="23">
        <v>175.0</v>
      </c>
      <c r="AL84" s="24">
        <v>185.0</v>
      </c>
      <c r="AM84" s="23">
        <v>-10.0</v>
      </c>
      <c r="AN84" s="18"/>
    </row>
    <row r="85" ht="15.75" customHeight="1">
      <c r="A85" s="25"/>
      <c r="B85" s="11">
        <v>45964.0</v>
      </c>
      <c r="C85" s="12" t="s">
        <v>21</v>
      </c>
      <c r="D85" s="12" t="s">
        <v>22</v>
      </c>
      <c r="E85" s="45" t="s">
        <v>61</v>
      </c>
      <c r="F85" s="13">
        <v>15.0</v>
      </c>
      <c r="G85" s="16" t="s">
        <v>24</v>
      </c>
      <c r="H85" s="13">
        <v>17.0</v>
      </c>
      <c r="I85" s="45" t="s">
        <v>58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63</v>
      </c>
      <c r="P85" s="18">
        <f t="shared" si="13"/>
        <v>29</v>
      </c>
      <c r="Q85" s="18">
        <f t="shared" si="14"/>
        <v>9</v>
      </c>
      <c r="R85" s="20">
        <f t="shared" si="15"/>
        <v>1</v>
      </c>
      <c r="S85" s="20">
        <f t="shared" si="16"/>
        <v>0</v>
      </c>
      <c r="T85" s="18">
        <f t="shared" si="17"/>
        <v>237</v>
      </c>
      <c r="U85" s="20">
        <f t="shared" si="18"/>
        <v>174</v>
      </c>
      <c r="V85" s="18">
        <f t="shared" si="19"/>
        <v>63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60</v>
      </c>
      <c r="AG85" s="23">
        <v>18.0</v>
      </c>
      <c r="AH85" s="23">
        <v>4.0</v>
      </c>
      <c r="AI85" s="24">
        <v>0.0</v>
      </c>
      <c r="AJ85" s="24">
        <v>6.0</v>
      </c>
      <c r="AK85" s="23">
        <v>198.0</v>
      </c>
      <c r="AL85" s="24">
        <v>225.0</v>
      </c>
      <c r="AM85" s="23">
        <v>-27.0</v>
      </c>
      <c r="AN85" s="18"/>
    </row>
    <row r="86" ht="15.75" customHeight="1">
      <c r="A86" s="25"/>
      <c r="B86" s="11">
        <v>45964.0</v>
      </c>
      <c r="C86" s="12" t="s">
        <v>30</v>
      </c>
      <c r="D86" s="12" t="s">
        <v>22</v>
      </c>
      <c r="E86" s="45" t="s">
        <v>64</v>
      </c>
      <c r="F86" s="13">
        <v>19.0</v>
      </c>
      <c r="G86" s="16" t="s">
        <v>24</v>
      </c>
      <c r="H86" s="13">
        <v>24.0</v>
      </c>
      <c r="I86" s="45" t="s">
        <v>60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65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67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35</v>
      </c>
      <c r="D87" s="12" t="s">
        <v>22</v>
      </c>
      <c r="E87" s="45" t="s">
        <v>65</v>
      </c>
      <c r="F87" s="13">
        <v>18.0</v>
      </c>
      <c r="G87" s="16" t="s">
        <v>24</v>
      </c>
      <c r="H87" s="13">
        <v>19.0</v>
      </c>
      <c r="I87" s="45" t="s">
        <v>63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60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61</v>
      </c>
      <c r="AG87" s="23">
        <v>14.0</v>
      </c>
      <c r="AH87" s="49">
        <v>2.0</v>
      </c>
      <c r="AI87" s="50">
        <v>0.0</v>
      </c>
      <c r="AJ87" s="50">
        <v>8.0</v>
      </c>
      <c r="AK87" s="49">
        <v>124.0</v>
      </c>
      <c r="AL87" s="50">
        <v>185.0</v>
      </c>
      <c r="AM87" s="49">
        <v>-61.0</v>
      </c>
      <c r="AN87" s="18"/>
    </row>
    <row r="88" ht="15.75" customHeight="1">
      <c r="A88" s="25"/>
      <c r="B88" s="11">
        <v>45965.0</v>
      </c>
      <c r="C88" s="12" t="s">
        <v>30</v>
      </c>
      <c r="D88" s="12" t="s">
        <v>22</v>
      </c>
      <c r="E88" s="45" t="s">
        <v>68</v>
      </c>
      <c r="F88" s="13">
        <v>11.0</v>
      </c>
      <c r="G88" s="16" t="s">
        <v>24</v>
      </c>
      <c r="H88" s="13">
        <v>20.0</v>
      </c>
      <c r="I88" s="45" t="s">
        <v>66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68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68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35</v>
      </c>
      <c r="D89" s="12" t="s">
        <v>22</v>
      </c>
      <c r="E89" s="45" t="s">
        <v>62</v>
      </c>
      <c r="F89" s="13">
        <v>25.0</v>
      </c>
      <c r="G89" s="16" t="s">
        <v>24</v>
      </c>
      <c r="H89" s="13">
        <v>16.0</v>
      </c>
      <c r="I89" s="45" t="s">
        <v>67</v>
      </c>
      <c r="J89" s="4"/>
      <c r="K89" s="4">
        <f t="shared" si="11"/>
        <v>3</v>
      </c>
      <c r="L89" s="18">
        <f t="shared" si="12"/>
        <v>1</v>
      </c>
      <c r="M89" s="4"/>
      <c r="N89" s="51">
        <v>12.0</v>
      </c>
      <c r="O89" s="52" t="s">
        <v>69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3">
        <v>12.0</v>
      </c>
      <c r="AF89" s="23" t="s">
        <v>69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49</v>
      </c>
      <c r="D90" s="12" t="s">
        <v>22</v>
      </c>
      <c r="E90" s="45" t="s">
        <v>59</v>
      </c>
      <c r="F90" s="13">
        <v>18.0</v>
      </c>
      <c r="G90" s="16" t="s">
        <v>24</v>
      </c>
      <c r="H90" s="13">
        <v>8.0</v>
      </c>
      <c r="I90" s="45" t="s">
        <v>61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70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21</v>
      </c>
      <c r="D91" s="12" t="s">
        <v>22</v>
      </c>
      <c r="E91" s="45" t="s">
        <v>58</v>
      </c>
      <c r="F91" s="13">
        <v>13.0</v>
      </c>
      <c r="G91" s="16" t="s">
        <v>24</v>
      </c>
      <c r="H91" s="13">
        <v>10.0</v>
      </c>
      <c r="I91" s="45" t="s">
        <v>64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30</v>
      </c>
      <c r="D92" s="12" t="s">
        <v>22</v>
      </c>
      <c r="E92" s="45" t="s">
        <v>60</v>
      </c>
      <c r="F92" s="13">
        <v>15.0</v>
      </c>
      <c r="G92" s="16" t="s">
        <v>24</v>
      </c>
      <c r="H92" s="13">
        <v>21.0</v>
      </c>
      <c r="I92" s="45" t="s">
        <v>65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35</v>
      </c>
      <c r="D93" s="12" t="s">
        <v>22</v>
      </c>
      <c r="E93" s="45" t="s">
        <v>63</v>
      </c>
      <c r="F93" s="13">
        <v>26.0</v>
      </c>
      <c r="G93" s="16" t="s">
        <v>24</v>
      </c>
      <c r="H93" s="13">
        <v>22.0</v>
      </c>
      <c r="I93" s="45" t="s">
        <v>68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30</v>
      </c>
      <c r="D94" s="12" t="s">
        <v>22</v>
      </c>
      <c r="E94" s="45" t="s">
        <v>66</v>
      </c>
      <c r="F94" s="13">
        <v>25.0</v>
      </c>
      <c r="G94" s="16" t="s">
        <v>24</v>
      </c>
      <c r="H94" s="13">
        <v>16.0</v>
      </c>
      <c r="I94" s="45" t="s">
        <v>62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35</v>
      </c>
      <c r="D95" s="12" t="s">
        <v>22</v>
      </c>
      <c r="E95" s="47" t="s">
        <v>69</v>
      </c>
      <c r="F95" s="13"/>
      <c r="G95" s="16" t="s">
        <v>24</v>
      </c>
      <c r="H95" s="13"/>
      <c r="I95" s="45" t="s">
        <v>67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4">
        <v>4.0</v>
      </c>
      <c r="B96" s="44">
        <v>46000.0</v>
      </c>
      <c r="C96" s="12" t="s">
        <v>49</v>
      </c>
      <c r="D96" s="12" t="s">
        <v>22</v>
      </c>
      <c r="E96" s="45" t="s">
        <v>61</v>
      </c>
      <c r="F96" s="13"/>
      <c r="G96" s="16" t="s">
        <v>24</v>
      </c>
      <c r="H96" s="13"/>
      <c r="I96" s="14" t="s">
        <v>69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4">
        <v>46000.0</v>
      </c>
      <c r="C97" s="12" t="s">
        <v>21</v>
      </c>
      <c r="D97" s="12" t="s">
        <v>22</v>
      </c>
      <c r="E97" s="45" t="s">
        <v>64</v>
      </c>
      <c r="F97" s="13">
        <v>23.0</v>
      </c>
      <c r="G97" s="16" t="s">
        <v>24</v>
      </c>
      <c r="H97" s="13">
        <v>31.0</v>
      </c>
      <c r="I97" s="45" t="s">
        <v>59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4">
        <v>46000.0</v>
      </c>
      <c r="C98" s="12" t="s">
        <v>30</v>
      </c>
      <c r="D98" s="12" t="s">
        <v>22</v>
      </c>
      <c r="E98" s="45" t="s">
        <v>65</v>
      </c>
      <c r="F98" s="13">
        <v>21.0</v>
      </c>
      <c r="G98" s="16" t="s">
        <v>24</v>
      </c>
      <c r="H98" s="13">
        <v>21.0</v>
      </c>
      <c r="I98" s="45" t="s">
        <v>58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4">
        <v>46000.0</v>
      </c>
      <c r="C99" s="12" t="s">
        <v>35</v>
      </c>
      <c r="D99" s="12" t="s">
        <v>22</v>
      </c>
      <c r="E99" s="45" t="s">
        <v>68</v>
      </c>
      <c r="F99" s="13">
        <v>23.0</v>
      </c>
      <c r="G99" s="16" t="s">
        <v>24</v>
      </c>
      <c r="H99" s="13">
        <v>26.0</v>
      </c>
      <c r="I99" s="45" t="s">
        <v>60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4">
        <v>46072.0</v>
      </c>
      <c r="C100" s="12" t="s">
        <v>30</v>
      </c>
      <c r="D100" s="12" t="s">
        <v>22</v>
      </c>
      <c r="E100" s="45" t="s">
        <v>62</v>
      </c>
      <c r="F100" s="13">
        <v>21.0</v>
      </c>
      <c r="G100" s="16" t="s">
        <v>24</v>
      </c>
      <c r="H100" s="13">
        <v>25.0</v>
      </c>
      <c r="I100" s="45" t="s">
        <v>63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4">
        <v>46090.0</v>
      </c>
      <c r="C101" s="12" t="s">
        <v>30</v>
      </c>
      <c r="D101" s="12" t="s">
        <v>22</v>
      </c>
      <c r="E101" s="45" t="s">
        <v>67</v>
      </c>
      <c r="F101" s="13">
        <v>14.0</v>
      </c>
      <c r="G101" s="16" t="s">
        <v>24</v>
      </c>
      <c r="H101" s="13">
        <v>24.0</v>
      </c>
      <c r="I101" s="45" t="s">
        <v>66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4">
        <v>46106.0</v>
      </c>
      <c r="C102" s="12" t="s">
        <v>51</v>
      </c>
      <c r="D102" s="12" t="s">
        <v>22</v>
      </c>
      <c r="E102" s="14" t="s">
        <v>61</v>
      </c>
      <c r="F102" s="13">
        <v>0.0</v>
      </c>
      <c r="G102" s="16" t="s">
        <v>24</v>
      </c>
      <c r="H102" s="13">
        <v>15.0</v>
      </c>
      <c r="I102" s="45" t="s">
        <v>64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4">
        <v>46065.0</v>
      </c>
      <c r="C103" s="12" t="s">
        <v>21</v>
      </c>
      <c r="D103" s="12" t="s">
        <v>22</v>
      </c>
      <c r="E103" s="45" t="s">
        <v>59</v>
      </c>
      <c r="F103" s="13">
        <v>25.0</v>
      </c>
      <c r="G103" s="16" t="s">
        <v>24</v>
      </c>
      <c r="H103" s="13">
        <v>22.0</v>
      </c>
      <c r="I103" s="45" t="s">
        <v>65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4">
        <v>46146.0</v>
      </c>
      <c r="C104" s="12" t="s">
        <v>30</v>
      </c>
      <c r="D104" s="12" t="s">
        <v>22</v>
      </c>
      <c r="E104" s="45" t="s">
        <v>58</v>
      </c>
      <c r="F104" s="13">
        <v>22.0</v>
      </c>
      <c r="G104" s="16" t="s">
        <v>24</v>
      </c>
      <c r="H104" s="13">
        <v>15.0</v>
      </c>
      <c r="I104" s="45" t="s">
        <v>68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4">
        <v>46086.0</v>
      </c>
      <c r="C105" s="12" t="s">
        <v>21</v>
      </c>
      <c r="D105" s="12" t="s">
        <v>22</v>
      </c>
      <c r="E105" s="45" t="s">
        <v>60</v>
      </c>
      <c r="F105" s="13">
        <v>18.0</v>
      </c>
      <c r="G105" s="16" t="s">
        <v>24</v>
      </c>
      <c r="H105" s="13">
        <v>25.0</v>
      </c>
      <c r="I105" s="45" t="s">
        <v>62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4">
        <v>46065.0</v>
      </c>
      <c r="C106" s="12" t="s">
        <v>30</v>
      </c>
      <c r="D106" s="12" t="s">
        <v>22</v>
      </c>
      <c r="E106" s="45" t="s">
        <v>63</v>
      </c>
      <c r="F106" s="13">
        <v>28.0</v>
      </c>
      <c r="G106" s="16" t="s">
        <v>24</v>
      </c>
      <c r="H106" s="13">
        <v>19.0</v>
      </c>
      <c r="I106" s="45" t="s">
        <v>67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4">
        <v>46065.0</v>
      </c>
      <c r="C107" s="12" t="s">
        <v>35</v>
      </c>
      <c r="D107" s="12" t="s">
        <v>22</v>
      </c>
      <c r="E107" s="14" t="s">
        <v>69</v>
      </c>
      <c r="F107" s="13"/>
      <c r="G107" s="16" t="s">
        <v>24</v>
      </c>
      <c r="H107" s="13"/>
      <c r="I107" s="45" t="s">
        <v>66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4">
        <v>46076.0</v>
      </c>
      <c r="C108" s="12" t="s">
        <v>49</v>
      </c>
      <c r="D108" s="12" t="s">
        <v>22</v>
      </c>
      <c r="E108" s="45" t="s">
        <v>64</v>
      </c>
      <c r="F108" s="13"/>
      <c r="G108" s="16" t="s">
        <v>24</v>
      </c>
      <c r="H108" s="13"/>
      <c r="I108" s="14" t="s">
        <v>69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4">
        <v>46076.0</v>
      </c>
      <c r="C109" s="12" t="s">
        <v>21</v>
      </c>
      <c r="D109" s="12" t="s">
        <v>22</v>
      </c>
      <c r="E109" s="45" t="s">
        <v>65</v>
      </c>
      <c r="F109" s="13">
        <v>26.0</v>
      </c>
      <c r="G109" s="16" t="s">
        <v>24</v>
      </c>
      <c r="H109" s="13">
        <v>13.0</v>
      </c>
      <c r="I109" s="45" t="s">
        <v>61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4">
        <v>46079.0</v>
      </c>
      <c r="C110" s="12" t="s">
        <v>30</v>
      </c>
      <c r="D110" s="12" t="s">
        <v>22</v>
      </c>
      <c r="E110" s="45" t="s">
        <v>68</v>
      </c>
      <c r="F110" s="13">
        <v>13.0</v>
      </c>
      <c r="G110" s="16" t="s">
        <v>24</v>
      </c>
      <c r="H110" s="13">
        <v>31.0</v>
      </c>
      <c r="I110" s="45" t="s">
        <v>59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4">
        <v>46076.0</v>
      </c>
      <c r="C111" s="12" t="s">
        <v>30</v>
      </c>
      <c r="D111" s="12" t="s">
        <v>22</v>
      </c>
      <c r="E111" s="45" t="s">
        <v>62</v>
      </c>
      <c r="F111" s="13">
        <v>19.0</v>
      </c>
      <c r="G111" s="16" t="s">
        <v>24</v>
      </c>
      <c r="H111" s="13">
        <v>29.0</v>
      </c>
      <c r="I111" s="45" t="s">
        <v>58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4">
        <v>46079.0</v>
      </c>
      <c r="C112" s="12" t="s">
        <v>49</v>
      </c>
      <c r="D112" s="12" t="s">
        <v>22</v>
      </c>
      <c r="E112" s="45" t="s">
        <v>67</v>
      </c>
      <c r="F112" s="13">
        <v>24.0</v>
      </c>
      <c r="G112" s="16" t="s">
        <v>24</v>
      </c>
      <c r="H112" s="13">
        <v>18.0</v>
      </c>
      <c r="I112" s="45" t="s">
        <v>60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4">
        <v>46079.0</v>
      </c>
      <c r="C113" s="12" t="s">
        <v>21</v>
      </c>
      <c r="D113" s="12" t="s">
        <v>22</v>
      </c>
      <c r="E113" s="45" t="s">
        <v>66</v>
      </c>
      <c r="F113" s="13">
        <v>0.0</v>
      </c>
      <c r="G113" s="16" t="s">
        <v>24</v>
      </c>
      <c r="H113" s="13">
        <v>15.0</v>
      </c>
      <c r="I113" s="45" t="s">
        <v>63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4">
        <v>46086.0</v>
      </c>
      <c r="C114" s="12" t="s">
        <v>49</v>
      </c>
      <c r="D114" s="12" t="s">
        <v>22</v>
      </c>
      <c r="E114" s="45" t="s">
        <v>64</v>
      </c>
      <c r="F114" s="13">
        <v>12.0</v>
      </c>
      <c r="G114" s="16" t="s">
        <v>24</v>
      </c>
      <c r="H114" s="13">
        <v>20.0</v>
      </c>
      <c r="I114" s="45" t="s">
        <v>65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4">
        <v>46090.0</v>
      </c>
      <c r="C115" s="12" t="s">
        <v>35</v>
      </c>
      <c r="D115" s="12" t="s">
        <v>22</v>
      </c>
      <c r="E115" s="45" t="s">
        <v>61</v>
      </c>
      <c r="F115" s="13">
        <v>22.0</v>
      </c>
      <c r="G115" s="16" t="s">
        <v>24</v>
      </c>
      <c r="H115" s="13">
        <v>13.0</v>
      </c>
      <c r="I115" s="45" t="s">
        <v>68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55">
        <v>46154.0</v>
      </c>
      <c r="C116" s="12" t="s">
        <v>54</v>
      </c>
      <c r="D116" s="12" t="s">
        <v>22</v>
      </c>
      <c r="E116" s="17" t="s">
        <v>59</v>
      </c>
      <c r="F116" s="13">
        <v>29.0</v>
      </c>
      <c r="G116" s="16" t="s">
        <v>24</v>
      </c>
      <c r="H116" s="13">
        <v>24.0</v>
      </c>
      <c r="I116" s="45" t="s">
        <v>62</v>
      </c>
      <c r="J116" s="4"/>
      <c r="K116" s="4">
        <f t="shared" si="11"/>
        <v>3</v>
      </c>
      <c r="L116" s="18">
        <f t="shared" si="12"/>
        <v>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4">
        <v>46105.0</v>
      </c>
      <c r="C117" s="12" t="s">
        <v>21</v>
      </c>
      <c r="D117" s="12" t="s">
        <v>22</v>
      </c>
      <c r="E117" s="45" t="s">
        <v>58</v>
      </c>
      <c r="F117" s="13">
        <v>22.0</v>
      </c>
      <c r="G117" s="16" t="s">
        <v>24</v>
      </c>
      <c r="H117" s="13">
        <v>17.0</v>
      </c>
      <c r="I117" s="45" t="s">
        <v>67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4">
        <v>46146.0</v>
      </c>
      <c r="C118" s="12" t="s">
        <v>35</v>
      </c>
      <c r="D118" s="12" t="s">
        <v>22</v>
      </c>
      <c r="E118" s="45" t="s">
        <v>60</v>
      </c>
      <c r="F118" s="13">
        <v>13.0</v>
      </c>
      <c r="G118" s="16" t="s">
        <v>24</v>
      </c>
      <c r="H118" s="13">
        <v>20.0</v>
      </c>
      <c r="I118" s="45" t="s">
        <v>66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4">
        <v>46086.0</v>
      </c>
      <c r="C119" s="12" t="s">
        <v>30</v>
      </c>
      <c r="D119" s="12" t="s">
        <v>22</v>
      </c>
      <c r="E119" s="56" t="s">
        <v>69</v>
      </c>
      <c r="F119" s="13"/>
      <c r="G119" s="31" t="s">
        <v>24</v>
      </c>
      <c r="H119" s="13"/>
      <c r="I119" s="45" t="s">
        <v>63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4">
        <v>46091.0</v>
      </c>
      <c r="C120" s="12" t="s">
        <v>49</v>
      </c>
      <c r="D120" s="12" t="s">
        <v>22</v>
      </c>
      <c r="E120" s="45" t="s">
        <v>65</v>
      </c>
      <c r="F120" s="13"/>
      <c r="G120" s="31" t="s">
        <v>24</v>
      </c>
      <c r="H120" s="13"/>
      <c r="I120" s="14" t="s">
        <v>69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4">
        <v>46091.0</v>
      </c>
      <c r="C121" s="12" t="s">
        <v>21</v>
      </c>
      <c r="D121" s="12" t="s">
        <v>22</v>
      </c>
      <c r="E121" s="45" t="s">
        <v>68</v>
      </c>
      <c r="F121" s="13">
        <v>10.0</v>
      </c>
      <c r="G121" s="16" t="s">
        <v>24</v>
      </c>
      <c r="H121" s="13">
        <v>20.0</v>
      </c>
      <c r="I121" s="45" t="s">
        <v>64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4">
        <v>46091.0</v>
      </c>
      <c r="C122" s="12" t="s">
        <v>30</v>
      </c>
      <c r="D122" s="12" t="s">
        <v>22</v>
      </c>
      <c r="E122" s="45" t="s">
        <v>62</v>
      </c>
      <c r="F122" s="13">
        <v>23.0</v>
      </c>
      <c r="G122" s="16" t="s">
        <v>24</v>
      </c>
      <c r="H122" s="13">
        <v>15.0</v>
      </c>
      <c r="I122" s="45" t="s">
        <v>61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4">
        <v>46093.0</v>
      </c>
      <c r="C123" s="12" t="s">
        <v>49</v>
      </c>
      <c r="D123" s="12" t="s">
        <v>22</v>
      </c>
      <c r="E123" s="45" t="s">
        <v>67</v>
      </c>
      <c r="F123" s="13">
        <v>19.0</v>
      </c>
      <c r="G123" s="16" t="s">
        <v>24</v>
      </c>
      <c r="H123" s="13">
        <v>24.0</v>
      </c>
      <c r="I123" s="45" t="s">
        <v>59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4">
        <v>46093.0</v>
      </c>
      <c r="C124" s="12" t="s">
        <v>21</v>
      </c>
      <c r="D124" s="12" t="s">
        <v>22</v>
      </c>
      <c r="E124" s="45" t="s">
        <v>66</v>
      </c>
      <c r="F124" s="13">
        <v>13.0</v>
      </c>
      <c r="G124" s="16" t="s">
        <v>24</v>
      </c>
      <c r="H124" s="13">
        <v>22.0</v>
      </c>
      <c r="I124" s="45" t="s">
        <v>58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4">
        <v>46091.0</v>
      </c>
      <c r="C125" s="12" t="s">
        <v>35</v>
      </c>
      <c r="D125" s="12" t="s">
        <v>22</v>
      </c>
      <c r="E125" s="45" t="s">
        <v>63</v>
      </c>
      <c r="F125" s="13">
        <v>26.0</v>
      </c>
      <c r="G125" s="16" t="s">
        <v>24</v>
      </c>
      <c r="H125" s="13">
        <v>24.0</v>
      </c>
      <c r="I125" s="45" t="s">
        <v>60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1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4">
        <v>46104.0</v>
      </c>
      <c r="C126" s="12" t="s">
        <v>52</v>
      </c>
      <c r="D126" s="12" t="s">
        <v>22</v>
      </c>
      <c r="E126" s="45" t="s">
        <v>65</v>
      </c>
      <c r="F126" s="13">
        <v>31.0</v>
      </c>
      <c r="G126" s="31" t="s">
        <v>24</v>
      </c>
      <c r="H126" s="13">
        <v>10.0</v>
      </c>
      <c r="I126" s="45" t="s">
        <v>68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4">
        <v>46098.0</v>
      </c>
      <c r="C127" s="12" t="s">
        <v>49</v>
      </c>
      <c r="D127" s="12" t="s">
        <v>22</v>
      </c>
      <c r="E127" s="45" t="s">
        <v>64</v>
      </c>
      <c r="F127" s="13">
        <v>26.0</v>
      </c>
      <c r="G127" s="16" t="s">
        <v>24</v>
      </c>
      <c r="H127" s="13">
        <v>25.0</v>
      </c>
      <c r="I127" s="45" t="s">
        <v>62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4">
        <v>46098.0</v>
      </c>
      <c r="C128" s="12" t="s">
        <v>21</v>
      </c>
      <c r="D128" s="12" t="s">
        <v>22</v>
      </c>
      <c r="E128" s="45" t="s">
        <v>61</v>
      </c>
      <c r="F128" s="13">
        <v>9.0</v>
      </c>
      <c r="G128" s="16" t="s">
        <v>24</v>
      </c>
      <c r="H128" s="13">
        <v>16.0</v>
      </c>
      <c r="I128" s="45" t="s">
        <v>67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4">
        <v>46098.0</v>
      </c>
      <c r="C129" s="12" t="s">
        <v>30</v>
      </c>
      <c r="D129" s="12" t="s">
        <v>22</v>
      </c>
      <c r="E129" s="45" t="s">
        <v>59</v>
      </c>
      <c r="F129" s="13">
        <v>27.0</v>
      </c>
      <c r="G129" s="16" t="s">
        <v>24</v>
      </c>
      <c r="H129" s="13">
        <v>17.0</v>
      </c>
      <c r="I129" s="45" t="s">
        <v>66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4">
        <v>46104.0</v>
      </c>
      <c r="C130" s="12" t="s">
        <v>35</v>
      </c>
      <c r="D130" s="12" t="s">
        <v>22</v>
      </c>
      <c r="E130" s="45" t="s">
        <v>58</v>
      </c>
      <c r="F130" s="13">
        <v>21.0</v>
      </c>
      <c r="G130" s="16" t="s">
        <v>24</v>
      </c>
      <c r="H130" s="13">
        <v>23.0</v>
      </c>
      <c r="I130" s="45" t="s">
        <v>63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4">
        <v>46107.0</v>
      </c>
      <c r="C131" s="12" t="s">
        <v>30</v>
      </c>
      <c r="D131" s="12" t="s">
        <v>22</v>
      </c>
      <c r="E131" s="14" t="s">
        <v>69</v>
      </c>
      <c r="F131" s="13"/>
      <c r="G131" s="16" t="s">
        <v>24</v>
      </c>
      <c r="H131" s="13"/>
      <c r="I131" s="45" t="s">
        <v>60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4">
        <v>46093.0</v>
      </c>
      <c r="C132" s="12" t="s">
        <v>30</v>
      </c>
      <c r="D132" s="12" t="s">
        <v>22</v>
      </c>
      <c r="E132" s="56" t="s">
        <v>69</v>
      </c>
      <c r="F132" s="13"/>
      <c r="G132" s="31" t="s">
        <v>24</v>
      </c>
      <c r="H132" s="13"/>
      <c r="I132" s="45" t="s">
        <v>68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4">
        <v>46107.0</v>
      </c>
      <c r="C133" s="12" t="s">
        <v>35</v>
      </c>
      <c r="D133" s="12" t="s">
        <v>22</v>
      </c>
      <c r="E133" s="45" t="s">
        <v>62</v>
      </c>
      <c r="F133" s="13">
        <v>14.0</v>
      </c>
      <c r="G133" s="16" t="s">
        <v>24</v>
      </c>
      <c r="H133" s="13">
        <v>16.0</v>
      </c>
      <c r="I133" s="45" t="s">
        <v>65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4">
        <v>46111.0</v>
      </c>
      <c r="C134" s="12" t="s">
        <v>30</v>
      </c>
      <c r="D134" s="12" t="s">
        <v>22</v>
      </c>
      <c r="E134" s="45" t="s">
        <v>67</v>
      </c>
      <c r="F134" s="13">
        <v>13.0</v>
      </c>
      <c r="G134" s="16" t="s">
        <v>24</v>
      </c>
      <c r="H134" s="13">
        <v>14.0</v>
      </c>
      <c r="I134" s="45" t="s">
        <v>64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4">
        <v>46111.0</v>
      </c>
      <c r="C135" s="12" t="s">
        <v>35</v>
      </c>
      <c r="D135" s="12" t="s">
        <v>22</v>
      </c>
      <c r="E135" s="45" t="s">
        <v>66</v>
      </c>
      <c r="F135" s="13">
        <v>0.0</v>
      </c>
      <c r="G135" s="16" t="s">
        <v>24</v>
      </c>
      <c r="H135" s="13">
        <v>15.0</v>
      </c>
      <c r="I135" s="45" t="s">
        <v>61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4">
        <v>46149.0</v>
      </c>
      <c r="C136" s="12" t="s">
        <v>49</v>
      </c>
      <c r="D136" s="12" t="s">
        <v>22</v>
      </c>
      <c r="E136" s="45" t="s">
        <v>63</v>
      </c>
      <c r="F136" s="13">
        <v>19.0</v>
      </c>
      <c r="G136" s="16" t="s">
        <v>24</v>
      </c>
      <c r="H136" s="13">
        <v>19.0</v>
      </c>
      <c r="I136" s="45" t="s">
        <v>59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4">
        <v>46149.0</v>
      </c>
      <c r="C137" s="12" t="s">
        <v>21</v>
      </c>
      <c r="D137" s="12" t="s">
        <v>22</v>
      </c>
      <c r="E137" s="45" t="s">
        <v>60</v>
      </c>
      <c r="F137" s="13">
        <v>21.0</v>
      </c>
      <c r="G137" s="16" t="s">
        <v>24</v>
      </c>
      <c r="H137" s="13">
        <v>20.0</v>
      </c>
      <c r="I137" s="45" t="s">
        <v>58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4">
        <v>46148.0</v>
      </c>
      <c r="C138" s="12" t="s">
        <v>55</v>
      </c>
      <c r="D138" s="12" t="s">
        <v>22</v>
      </c>
      <c r="E138" s="45" t="s">
        <v>68</v>
      </c>
      <c r="F138" s="13">
        <v>15.0</v>
      </c>
      <c r="G138" s="31" t="s">
        <v>24</v>
      </c>
      <c r="H138" s="13">
        <v>24.0</v>
      </c>
      <c r="I138" s="45" t="s">
        <v>62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4">
        <v>46148.0</v>
      </c>
      <c r="C139" s="12" t="s">
        <v>52</v>
      </c>
      <c r="D139" s="12" t="s">
        <v>22</v>
      </c>
      <c r="E139" s="45" t="s">
        <v>65</v>
      </c>
      <c r="F139" s="13">
        <v>22.0</v>
      </c>
      <c r="G139" s="16" t="s">
        <v>24</v>
      </c>
      <c r="H139" s="13">
        <v>16.0</v>
      </c>
      <c r="I139" s="45" t="s">
        <v>67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55">
        <v>46154.0</v>
      </c>
      <c r="C140" s="12" t="s">
        <v>51</v>
      </c>
      <c r="D140" s="12" t="s">
        <v>22</v>
      </c>
      <c r="E140" s="45" t="s">
        <v>64</v>
      </c>
      <c r="F140" s="13">
        <v>17.0</v>
      </c>
      <c r="G140" s="16" t="s">
        <v>24</v>
      </c>
      <c r="H140" s="13">
        <v>27.0</v>
      </c>
      <c r="I140" s="45" t="s">
        <v>66</v>
      </c>
      <c r="J140" s="2"/>
      <c r="K140" s="4">
        <f t="shared" si="11"/>
        <v>1</v>
      </c>
      <c r="L140" s="18">
        <f t="shared" si="12"/>
        <v>3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55">
        <v>46154.0</v>
      </c>
      <c r="C141" s="12" t="s">
        <v>55</v>
      </c>
      <c r="D141" s="12" t="s">
        <v>22</v>
      </c>
      <c r="E141" s="45" t="s">
        <v>61</v>
      </c>
      <c r="F141" s="13">
        <v>11.0</v>
      </c>
      <c r="G141" s="16" t="s">
        <v>24</v>
      </c>
      <c r="H141" s="13">
        <v>34.0</v>
      </c>
      <c r="I141" s="17" t="s">
        <v>63</v>
      </c>
      <c r="J141" s="2"/>
      <c r="K141" s="4">
        <f t="shared" si="11"/>
        <v>1</v>
      </c>
      <c r="L141" s="18">
        <f t="shared" si="12"/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4">
        <v>46106.0</v>
      </c>
      <c r="C142" s="12" t="s">
        <v>55</v>
      </c>
      <c r="D142" s="12" t="s">
        <v>22</v>
      </c>
      <c r="E142" s="45" t="s">
        <v>59</v>
      </c>
      <c r="F142" s="13">
        <v>31.0</v>
      </c>
      <c r="G142" s="16" t="s">
        <v>24</v>
      </c>
      <c r="H142" s="13">
        <v>16.0</v>
      </c>
      <c r="I142" s="17" t="s">
        <v>60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7"/>
      <c r="C143" s="31"/>
      <c r="D143" s="31"/>
      <c r="E143" s="45" t="s">
        <v>58</v>
      </c>
      <c r="F143" s="31"/>
      <c r="G143" s="16" t="s">
        <v>24</v>
      </c>
      <c r="H143" s="31"/>
      <c r="I143" s="14" t="s">
        <v>69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1" t="s">
        <v>71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8" t="s">
        <v>72</v>
      </c>
      <c r="B150" s="44">
        <v>46161.0</v>
      </c>
      <c r="C150" s="12" t="s">
        <v>49</v>
      </c>
      <c r="D150" s="12" t="s">
        <v>22</v>
      </c>
      <c r="E150" s="45" t="s">
        <v>40</v>
      </c>
      <c r="F150" s="13">
        <v>22.0</v>
      </c>
      <c r="G150" s="16" t="s">
        <v>24</v>
      </c>
      <c r="H150" s="13">
        <v>18.0</v>
      </c>
      <c r="I150" s="45" t="s">
        <v>59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4">
        <v>46161.0</v>
      </c>
      <c r="C151" s="12" t="s">
        <v>21</v>
      </c>
      <c r="D151" s="12" t="s">
        <v>22</v>
      </c>
      <c r="E151" s="45" t="s">
        <v>33</v>
      </c>
      <c r="F151" s="13">
        <v>28.0</v>
      </c>
      <c r="G151" s="16" t="s">
        <v>24</v>
      </c>
      <c r="H151" s="13">
        <v>24.0</v>
      </c>
      <c r="I151" s="45" t="s">
        <v>31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4">
        <v>46161.0</v>
      </c>
      <c r="C152" s="12" t="s">
        <v>30</v>
      </c>
      <c r="D152" s="12" t="s">
        <v>22</v>
      </c>
      <c r="E152" s="45" t="s">
        <v>36</v>
      </c>
      <c r="F152" s="13">
        <v>22.0</v>
      </c>
      <c r="G152" s="16" t="s">
        <v>24</v>
      </c>
      <c r="H152" s="13">
        <v>23.0</v>
      </c>
      <c r="I152" s="45" t="s">
        <v>25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4">
        <v>46161.0</v>
      </c>
      <c r="C153" s="12" t="s">
        <v>35</v>
      </c>
      <c r="D153" s="12" t="s">
        <v>22</v>
      </c>
      <c r="E153" s="45" t="s">
        <v>42</v>
      </c>
      <c r="F153" s="13">
        <v>25.0</v>
      </c>
      <c r="G153" s="16" t="s">
        <v>24</v>
      </c>
      <c r="H153" s="13">
        <v>19.0</v>
      </c>
      <c r="I153" s="45" t="s">
        <v>43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9" t="s">
        <v>73</v>
      </c>
      <c r="B154" s="60">
        <v>46168.0</v>
      </c>
      <c r="C154" s="12" t="s">
        <v>74</v>
      </c>
      <c r="D154" s="12" t="s">
        <v>22</v>
      </c>
      <c r="E154" s="45" t="s">
        <v>40</v>
      </c>
      <c r="F154" s="13">
        <v>23.0</v>
      </c>
      <c r="G154" s="16" t="s">
        <v>24</v>
      </c>
      <c r="H154" s="13">
        <v>16.0</v>
      </c>
      <c r="I154" s="45" t="s">
        <v>42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60">
        <v>46168.0</v>
      </c>
      <c r="C155" s="12" t="s">
        <v>75</v>
      </c>
      <c r="D155" s="12" t="s">
        <v>22</v>
      </c>
      <c r="E155" s="52" t="s">
        <v>33</v>
      </c>
      <c r="F155" s="13">
        <v>21.0</v>
      </c>
      <c r="G155" s="16" t="s">
        <v>24</v>
      </c>
      <c r="H155" s="13">
        <v>13.0</v>
      </c>
      <c r="I155" s="45" t="s">
        <v>25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61" t="s">
        <v>76</v>
      </c>
      <c r="B156" s="11">
        <v>46176.0</v>
      </c>
      <c r="C156" s="12" t="s">
        <v>77</v>
      </c>
      <c r="D156" s="12" t="s">
        <v>78</v>
      </c>
      <c r="E156" s="45" t="s">
        <v>42</v>
      </c>
      <c r="F156" s="13">
        <v>27.0</v>
      </c>
      <c r="G156" s="16" t="s">
        <v>24</v>
      </c>
      <c r="H156" s="13">
        <v>26.0</v>
      </c>
      <c r="I156" s="62" t="s">
        <v>25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61" t="s">
        <v>79</v>
      </c>
      <c r="B157" s="11">
        <v>46176.0</v>
      </c>
      <c r="C157" s="12" t="s">
        <v>55</v>
      </c>
      <c r="D157" s="12" t="s">
        <v>78</v>
      </c>
      <c r="E157" s="45" t="s">
        <v>40</v>
      </c>
      <c r="F157" s="13">
        <v>20.0</v>
      </c>
      <c r="G157" s="16" t="s">
        <v>24</v>
      </c>
      <c r="H157" s="13">
        <v>22.0</v>
      </c>
      <c r="I157" s="45" t="s">
        <v>33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3" t="s">
        <v>80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37"/>
      <c r="AE1" s="37"/>
      <c r="AF1" s="37"/>
      <c r="AG1" s="37"/>
      <c r="AH1" s="37"/>
      <c r="AI1" s="37"/>
      <c r="AJ1" s="37"/>
      <c r="AK1" s="37"/>
      <c r="AL1" s="37"/>
      <c r="AM1" s="64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2"/>
      <c r="X2" s="6" t="s">
        <v>20</v>
      </c>
      <c r="Y2" s="8"/>
      <c r="Z2" s="37"/>
      <c r="AA2" s="37"/>
      <c r="AB2" s="37"/>
      <c r="AC2" s="37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81</v>
      </c>
      <c r="AK2" s="5" t="s">
        <v>82</v>
      </c>
      <c r="AL2" s="5" t="s">
        <v>83</v>
      </c>
      <c r="AM2" s="64"/>
    </row>
    <row r="3" ht="15.75" customHeight="1">
      <c r="A3" s="66">
        <v>1.0</v>
      </c>
      <c r="B3" s="44">
        <v>46099.0</v>
      </c>
      <c r="C3" s="67" t="s">
        <v>84</v>
      </c>
      <c r="D3" s="12" t="s">
        <v>78</v>
      </c>
      <c r="E3" s="45" t="s">
        <v>39</v>
      </c>
      <c r="F3" s="45">
        <v>8.0</v>
      </c>
      <c r="G3" s="68" t="s">
        <v>24</v>
      </c>
      <c r="H3" s="45">
        <v>10.0</v>
      </c>
      <c r="I3" s="45" t="s">
        <v>85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9" t="s">
        <v>39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70" t="s">
        <v>26</v>
      </c>
      <c r="Y3" s="70" t="s">
        <v>13</v>
      </c>
      <c r="Z3" s="64"/>
      <c r="AA3" s="64"/>
      <c r="AB3" s="64"/>
      <c r="AC3" s="64"/>
      <c r="AD3" s="22" t="s">
        <v>29</v>
      </c>
      <c r="AE3" s="71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4"/>
    </row>
    <row r="4" ht="15.75" customHeight="1">
      <c r="A4" s="25"/>
      <c r="B4" s="44">
        <v>46099.0</v>
      </c>
      <c r="C4" s="67" t="s">
        <v>86</v>
      </c>
      <c r="D4" s="12" t="s">
        <v>78</v>
      </c>
      <c r="E4" s="45" t="s">
        <v>32</v>
      </c>
      <c r="F4" s="45">
        <v>13.0</v>
      </c>
      <c r="G4" s="68" t="s">
        <v>24</v>
      </c>
      <c r="H4" s="45">
        <v>17.0</v>
      </c>
      <c r="I4" s="45" t="s">
        <v>43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9" t="s">
        <v>37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33</v>
      </c>
      <c r="Y4" s="28">
        <v>6.0</v>
      </c>
      <c r="Z4" s="64"/>
      <c r="AA4" s="64"/>
      <c r="AB4" s="64"/>
      <c r="AC4" s="64"/>
      <c r="AD4" s="22" t="s">
        <v>34</v>
      </c>
      <c r="AE4" s="71" t="s">
        <v>32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4"/>
    </row>
    <row r="5" ht="15.75" customHeight="1">
      <c r="A5" s="25"/>
      <c r="B5" s="44">
        <v>45952.0</v>
      </c>
      <c r="C5" s="39" t="s">
        <v>87</v>
      </c>
      <c r="D5" s="72" t="s">
        <v>78</v>
      </c>
      <c r="E5" s="45" t="s">
        <v>64</v>
      </c>
      <c r="F5" s="45">
        <v>6.0</v>
      </c>
      <c r="G5" s="68" t="s">
        <v>24</v>
      </c>
      <c r="H5" s="45">
        <v>11.0</v>
      </c>
      <c r="I5" s="45" t="s">
        <v>33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9" t="s">
        <v>85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32</v>
      </c>
      <c r="Y5" s="28">
        <v>3.0</v>
      </c>
      <c r="Z5" s="64"/>
      <c r="AA5" s="64"/>
      <c r="AB5" s="64"/>
      <c r="AC5" s="64"/>
      <c r="AD5" s="22" t="s">
        <v>38</v>
      </c>
      <c r="AE5" s="71" t="s">
        <v>36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4"/>
    </row>
    <row r="6" ht="15.75" customHeight="1">
      <c r="A6" s="25"/>
      <c r="B6" s="44">
        <v>45952.0</v>
      </c>
      <c r="C6" s="12" t="s">
        <v>55</v>
      </c>
      <c r="D6" s="72" t="s">
        <v>78</v>
      </c>
      <c r="E6" s="45" t="s">
        <v>88</v>
      </c>
      <c r="F6" s="45">
        <v>4.0</v>
      </c>
      <c r="G6" s="68" t="s">
        <v>24</v>
      </c>
      <c r="H6" s="45">
        <v>7.0</v>
      </c>
      <c r="I6" s="45" t="s">
        <v>65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9" t="s">
        <v>61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4"/>
      <c r="X6" s="28" t="s">
        <v>36</v>
      </c>
      <c r="Y6" s="28">
        <v>0.0</v>
      </c>
      <c r="Z6" s="64"/>
      <c r="AA6" s="64"/>
      <c r="AB6" s="64"/>
      <c r="AC6" s="64"/>
      <c r="AD6" s="22" t="s">
        <v>41</v>
      </c>
      <c r="AE6" s="71" t="s">
        <v>39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4"/>
    </row>
    <row r="7" ht="15.75" customHeight="1">
      <c r="A7" s="25"/>
      <c r="B7" s="44">
        <v>45952.0</v>
      </c>
      <c r="C7" s="67" t="s">
        <v>84</v>
      </c>
      <c r="D7" s="72" t="s">
        <v>78</v>
      </c>
      <c r="E7" s="45" t="s">
        <v>61</v>
      </c>
      <c r="F7" s="45">
        <v>3.0</v>
      </c>
      <c r="G7" s="68" t="s">
        <v>24</v>
      </c>
      <c r="H7" s="45">
        <v>8.0</v>
      </c>
      <c r="I7" s="45" t="s">
        <v>36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43</v>
      </c>
      <c r="P7" s="18">
        <f t="shared" si="3"/>
        <v>12</v>
      </c>
      <c r="Q7" s="18">
        <f t="shared" si="4"/>
        <v>6</v>
      </c>
      <c r="R7" s="18">
        <f t="shared" si="5"/>
        <v>0</v>
      </c>
      <c r="S7" s="20">
        <f t="shared" si="6"/>
        <v>5</v>
      </c>
      <c r="T7" s="18">
        <f t="shared" si="7"/>
        <v>128</v>
      </c>
      <c r="U7" s="20">
        <f t="shared" si="8"/>
        <v>106</v>
      </c>
      <c r="V7" s="18">
        <f t="shared" si="9"/>
        <v>22</v>
      </c>
      <c r="W7" s="64"/>
      <c r="X7" s="37"/>
      <c r="Y7" s="64"/>
      <c r="Z7" s="64"/>
      <c r="AA7" s="64"/>
      <c r="AB7" s="64"/>
      <c r="AC7" s="64"/>
      <c r="AD7" s="22" t="s">
        <v>44</v>
      </c>
      <c r="AE7" s="71" t="s">
        <v>25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4"/>
    </row>
    <row r="8" ht="15.75" customHeight="1">
      <c r="A8" s="29"/>
      <c r="B8" s="44">
        <v>45952.0</v>
      </c>
      <c r="C8" s="12" t="s">
        <v>86</v>
      </c>
      <c r="D8" s="72" t="s">
        <v>78</v>
      </c>
      <c r="E8" s="45" t="s">
        <v>25</v>
      </c>
      <c r="F8" s="45">
        <v>5.0</v>
      </c>
      <c r="G8" s="68" t="s">
        <v>24</v>
      </c>
      <c r="H8" s="45">
        <v>3.0</v>
      </c>
      <c r="I8" s="45" t="s">
        <v>37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9" t="s">
        <v>88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8</v>
      </c>
      <c r="T8" s="18">
        <f t="shared" si="7"/>
        <v>83</v>
      </c>
      <c r="U8" s="20">
        <f t="shared" si="8"/>
        <v>116</v>
      </c>
      <c r="V8" s="18">
        <f t="shared" si="9"/>
        <v>-33</v>
      </c>
      <c r="W8" s="64"/>
      <c r="X8" s="6" t="s">
        <v>46</v>
      </c>
      <c r="Y8" s="7"/>
      <c r="Z8" s="7"/>
      <c r="AA8" s="7"/>
      <c r="AB8" s="8"/>
      <c r="AC8" s="64"/>
      <c r="AD8" s="22" t="s">
        <v>47</v>
      </c>
      <c r="AE8" s="71" t="s">
        <v>43</v>
      </c>
      <c r="AF8" s="23">
        <v>12.0</v>
      </c>
      <c r="AG8" s="23">
        <v>6.0</v>
      </c>
      <c r="AH8" s="23">
        <v>0.0</v>
      </c>
      <c r="AI8" s="24">
        <v>5.0</v>
      </c>
      <c r="AJ8" s="23">
        <v>128.0</v>
      </c>
      <c r="AK8" s="24">
        <v>106.0</v>
      </c>
      <c r="AL8" s="23">
        <v>22.0</v>
      </c>
      <c r="AM8" s="64"/>
    </row>
    <row r="9" ht="15.75" customHeight="1">
      <c r="A9" s="66">
        <v>2.0</v>
      </c>
      <c r="B9" s="44">
        <v>45952.0</v>
      </c>
      <c r="C9" s="12" t="s">
        <v>52</v>
      </c>
      <c r="D9" s="72" t="s">
        <v>78</v>
      </c>
      <c r="E9" s="45" t="s">
        <v>85</v>
      </c>
      <c r="F9" s="45">
        <v>4.0</v>
      </c>
      <c r="G9" s="68" t="s">
        <v>24</v>
      </c>
      <c r="H9" s="45">
        <v>9.0</v>
      </c>
      <c r="I9" s="45" t="s">
        <v>25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33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4"/>
      <c r="X9" s="70" t="s">
        <v>26</v>
      </c>
      <c r="Y9" s="70" t="s">
        <v>13</v>
      </c>
      <c r="Z9" s="70" t="s">
        <v>81</v>
      </c>
      <c r="AA9" s="70" t="s">
        <v>82</v>
      </c>
      <c r="AB9" s="70" t="s">
        <v>83</v>
      </c>
      <c r="AC9" s="64"/>
      <c r="AD9" s="53">
        <v>7.0</v>
      </c>
      <c r="AE9" s="71" t="s">
        <v>61</v>
      </c>
      <c r="AF9" s="23">
        <v>8.0</v>
      </c>
      <c r="AG9" s="23">
        <v>4.0</v>
      </c>
      <c r="AH9" s="23">
        <v>0.0</v>
      </c>
      <c r="AI9" s="24">
        <v>7.0</v>
      </c>
      <c r="AJ9" s="23">
        <v>85.0</v>
      </c>
      <c r="AK9" s="24">
        <v>124.0</v>
      </c>
      <c r="AL9" s="23">
        <v>-39.0</v>
      </c>
      <c r="AM9" s="64"/>
    </row>
    <row r="10" ht="15.75" customHeight="1">
      <c r="A10" s="25"/>
      <c r="B10" s="44">
        <v>45952.0</v>
      </c>
      <c r="C10" s="67" t="s">
        <v>89</v>
      </c>
      <c r="D10" s="72" t="s">
        <v>78</v>
      </c>
      <c r="E10" s="45" t="s">
        <v>43</v>
      </c>
      <c r="F10" s="45">
        <v>5.0</v>
      </c>
      <c r="G10" s="68" t="s">
        <v>24</v>
      </c>
      <c r="H10" s="45">
        <v>8.0</v>
      </c>
      <c r="I10" s="45" t="s">
        <v>39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9" t="s">
        <v>64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4"/>
      <c r="X10" s="73" t="s">
        <v>61</v>
      </c>
      <c r="Y10" s="73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4"/>
      <c r="AD10" s="53">
        <v>8.0</v>
      </c>
      <c r="AE10" s="71" t="s">
        <v>85</v>
      </c>
      <c r="AF10" s="23">
        <v>6.0</v>
      </c>
      <c r="AG10" s="23">
        <v>3.0</v>
      </c>
      <c r="AH10" s="23">
        <v>0.0</v>
      </c>
      <c r="AI10" s="24">
        <v>8.0</v>
      </c>
      <c r="AJ10" s="23">
        <v>94.0</v>
      </c>
      <c r="AK10" s="24">
        <v>118.0</v>
      </c>
      <c r="AL10" s="23">
        <v>-24.0</v>
      </c>
      <c r="AM10" s="64"/>
    </row>
    <row r="11" ht="15.75" customHeight="1">
      <c r="A11" s="25"/>
      <c r="B11" s="44">
        <v>45952.0</v>
      </c>
      <c r="C11" s="67" t="s">
        <v>90</v>
      </c>
      <c r="D11" s="72" t="s">
        <v>78</v>
      </c>
      <c r="E11" s="45" t="s">
        <v>33</v>
      </c>
      <c r="F11" s="45">
        <v>13.0</v>
      </c>
      <c r="G11" s="68" t="s">
        <v>24</v>
      </c>
      <c r="H11" s="45">
        <v>15.0</v>
      </c>
      <c r="I11" s="45" t="s">
        <v>32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9" t="s">
        <v>65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4"/>
      <c r="X11" s="28" t="s">
        <v>25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4"/>
      <c r="AD11" s="74" t="s">
        <v>91</v>
      </c>
      <c r="AE11" s="75" t="s">
        <v>37</v>
      </c>
      <c r="AF11" s="49">
        <v>6.0</v>
      </c>
      <c r="AG11" s="49">
        <v>3.0</v>
      </c>
      <c r="AH11" s="49">
        <v>0.0</v>
      </c>
      <c r="AI11" s="50">
        <v>8.0</v>
      </c>
      <c r="AJ11" s="49">
        <v>93.0</v>
      </c>
      <c r="AK11" s="50">
        <v>118.0</v>
      </c>
      <c r="AL11" s="49">
        <v>-25.0</v>
      </c>
      <c r="AM11" s="64"/>
    </row>
    <row r="12" ht="15.75" customHeight="1">
      <c r="A12" s="25"/>
      <c r="B12" s="44">
        <v>45952.0</v>
      </c>
      <c r="C12" s="67" t="s">
        <v>53</v>
      </c>
      <c r="D12" s="72" t="s">
        <v>78</v>
      </c>
      <c r="E12" s="45" t="s">
        <v>65</v>
      </c>
      <c r="F12" s="45">
        <v>7.0</v>
      </c>
      <c r="G12" s="68" t="s">
        <v>24</v>
      </c>
      <c r="H12" s="45">
        <v>5.0</v>
      </c>
      <c r="I12" s="45" t="s">
        <v>64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6" t="s">
        <v>32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4"/>
      <c r="X12" s="28" t="s">
        <v>85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4"/>
      <c r="AD12" s="77">
        <v>10.0</v>
      </c>
      <c r="AE12" s="71" t="s">
        <v>88</v>
      </c>
      <c r="AF12" s="23">
        <v>6.0</v>
      </c>
      <c r="AG12" s="23">
        <v>3.0</v>
      </c>
      <c r="AH12" s="23">
        <v>0.0</v>
      </c>
      <c r="AI12" s="24">
        <v>8.0</v>
      </c>
      <c r="AJ12" s="23">
        <v>83.0</v>
      </c>
      <c r="AK12" s="24">
        <v>116.0</v>
      </c>
      <c r="AL12" s="23">
        <v>-33.0</v>
      </c>
      <c r="AM12" s="64"/>
    </row>
    <row r="13" ht="15.75" customHeight="1">
      <c r="A13" s="25"/>
      <c r="B13" s="11">
        <v>45952.0</v>
      </c>
      <c r="C13" s="67" t="s">
        <v>92</v>
      </c>
      <c r="D13" s="72" t="s">
        <v>78</v>
      </c>
      <c r="E13" s="45" t="s">
        <v>36</v>
      </c>
      <c r="F13" s="45">
        <v>4.0</v>
      </c>
      <c r="G13" s="68" t="s">
        <v>24</v>
      </c>
      <c r="H13" s="45">
        <v>13.0</v>
      </c>
      <c r="I13" s="45" t="s">
        <v>88</v>
      </c>
      <c r="J13" s="4"/>
      <c r="K13" s="4">
        <f t="shared" si="1"/>
        <v>0</v>
      </c>
      <c r="L13" s="18">
        <f t="shared" si="2"/>
        <v>2</v>
      </c>
      <c r="M13" s="4"/>
      <c r="N13" s="78">
        <v>11.0</v>
      </c>
      <c r="O13" s="78" t="s">
        <v>36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4"/>
      <c r="X13" s="64"/>
      <c r="Y13" s="64"/>
      <c r="Z13" s="64"/>
      <c r="AA13" s="64"/>
      <c r="AB13" s="64"/>
      <c r="AC13" s="64"/>
      <c r="AD13" s="34">
        <v>11.0</v>
      </c>
      <c r="AE13" s="79" t="s">
        <v>65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4"/>
    </row>
    <row r="14" ht="15.75" customHeight="1">
      <c r="A14" s="29"/>
      <c r="B14" s="11">
        <v>45952.0</v>
      </c>
      <c r="C14" s="67" t="s">
        <v>93</v>
      </c>
      <c r="D14" s="72" t="s">
        <v>78</v>
      </c>
      <c r="E14" s="45" t="s">
        <v>37</v>
      </c>
      <c r="F14" s="45">
        <v>9.0</v>
      </c>
      <c r="G14" s="68" t="s">
        <v>24</v>
      </c>
      <c r="H14" s="45">
        <v>10.0</v>
      </c>
      <c r="I14" s="45" t="s">
        <v>61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25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4"/>
      <c r="X14" s="64"/>
      <c r="Y14" s="64"/>
      <c r="Z14" s="64"/>
      <c r="AA14" s="64"/>
      <c r="AB14" s="64"/>
      <c r="AC14" s="64"/>
      <c r="AD14" s="34">
        <v>12.0</v>
      </c>
      <c r="AE14" s="79" t="s">
        <v>64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4"/>
    </row>
    <row r="15" ht="15.75" customHeight="1">
      <c r="A15" s="66">
        <v>3.0</v>
      </c>
      <c r="B15" s="11">
        <v>46008.0</v>
      </c>
      <c r="C15" s="12" t="s">
        <v>94</v>
      </c>
      <c r="D15" s="72" t="s">
        <v>78</v>
      </c>
      <c r="E15" s="45" t="s">
        <v>85</v>
      </c>
      <c r="F15" s="45">
        <v>13.0</v>
      </c>
      <c r="G15" s="68" t="s">
        <v>24</v>
      </c>
      <c r="H15" s="45">
        <v>3.0</v>
      </c>
      <c r="I15" s="45" t="s">
        <v>43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35" t="s">
        <v>95</v>
      </c>
      <c r="AG15" s="64"/>
      <c r="AH15" s="64"/>
      <c r="AI15" s="37"/>
      <c r="AJ15" s="37"/>
      <c r="AK15" s="37"/>
      <c r="AL15" s="37"/>
      <c r="AM15" s="64"/>
    </row>
    <row r="16" ht="15.75" customHeight="1">
      <c r="A16" s="25"/>
      <c r="B16" s="11">
        <v>46008.0</v>
      </c>
      <c r="C16" s="39" t="s">
        <v>51</v>
      </c>
      <c r="D16" s="72" t="s">
        <v>78</v>
      </c>
      <c r="E16" s="45" t="s">
        <v>39</v>
      </c>
      <c r="F16" s="45">
        <v>8.0</v>
      </c>
      <c r="G16" s="68" t="s">
        <v>24</v>
      </c>
      <c r="H16" s="45">
        <v>10.0</v>
      </c>
      <c r="I16" s="45" t="s">
        <v>33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80" t="s">
        <v>96</v>
      </c>
      <c r="AG16" s="64"/>
      <c r="AH16" s="64"/>
      <c r="AI16" s="37"/>
      <c r="AJ16" s="37"/>
      <c r="AK16" s="37"/>
      <c r="AL16" s="37"/>
      <c r="AM16" s="64"/>
    </row>
    <row r="17" ht="15.75" customHeight="1">
      <c r="A17" s="25"/>
      <c r="B17" s="11">
        <v>46008.0</v>
      </c>
      <c r="C17" s="39" t="s">
        <v>97</v>
      </c>
      <c r="D17" s="72" t="s">
        <v>78</v>
      </c>
      <c r="E17" s="45" t="s">
        <v>32</v>
      </c>
      <c r="F17" s="45">
        <v>12.0</v>
      </c>
      <c r="G17" s="68" t="s">
        <v>24</v>
      </c>
      <c r="H17" s="45">
        <v>8.0</v>
      </c>
      <c r="I17" s="45" t="s">
        <v>65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I17" s="37"/>
      <c r="AJ17" s="37"/>
      <c r="AK17" s="37"/>
      <c r="AL17" s="37"/>
      <c r="AM17" s="64"/>
    </row>
    <row r="18" ht="15.75" customHeight="1">
      <c r="A18" s="25"/>
      <c r="B18" s="11">
        <v>46008.0</v>
      </c>
      <c r="C18" s="39" t="s">
        <v>87</v>
      </c>
      <c r="D18" s="72" t="s">
        <v>78</v>
      </c>
      <c r="E18" s="45" t="s">
        <v>64</v>
      </c>
      <c r="F18" s="45">
        <v>10.0</v>
      </c>
      <c r="G18" s="68" t="s">
        <v>24</v>
      </c>
      <c r="H18" s="45">
        <v>12.0</v>
      </c>
      <c r="I18" s="45" t="s">
        <v>36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I18" s="37"/>
      <c r="AJ18" s="37"/>
      <c r="AK18" s="37"/>
      <c r="AL18" s="37"/>
      <c r="AM18" s="64"/>
    </row>
    <row r="19" ht="15.75" customHeight="1">
      <c r="A19" s="25"/>
      <c r="B19" s="11">
        <v>46008.0</v>
      </c>
      <c r="C19" s="12" t="s">
        <v>55</v>
      </c>
      <c r="D19" s="72" t="s">
        <v>78</v>
      </c>
      <c r="E19" s="45" t="s">
        <v>88</v>
      </c>
      <c r="F19" s="45">
        <v>8.0</v>
      </c>
      <c r="G19" s="68" t="s">
        <v>24</v>
      </c>
      <c r="H19" s="45">
        <v>10.0</v>
      </c>
      <c r="I19" s="45" t="s">
        <v>37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81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82" t="s">
        <v>98</v>
      </c>
      <c r="AE19" s="83"/>
      <c r="AF19" s="83"/>
      <c r="AG19" s="83"/>
      <c r="AH19" s="83"/>
      <c r="AI19" s="83"/>
      <c r="AJ19" s="83"/>
      <c r="AK19" s="83"/>
      <c r="AL19" s="84"/>
      <c r="AM19" s="64"/>
    </row>
    <row r="20" ht="15.75" customHeight="1">
      <c r="A20" s="29"/>
      <c r="B20" s="11">
        <v>46008.0</v>
      </c>
      <c r="C20" s="67" t="s">
        <v>84</v>
      </c>
      <c r="D20" s="72" t="s">
        <v>78</v>
      </c>
      <c r="E20" s="45" t="s">
        <v>25</v>
      </c>
      <c r="F20" s="45">
        <v>7.0</v>
      </c>
      <c r="G20" s="68" t="s">
        <v>24</v>
      </c>
      <c r="H20" s="45">
        <v>6.0</v>
      </c>
      <c r="I20" s="45" t="s">
        <v>61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81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85"/>
      <c r="AE20" s="86"/>
      <c r="AF20" s="86"/>
      <c r="AG20" s="86"/>
      <c r="AH20" s="86"/>
      <c r="AI20" s="86"/>
      <c r="AJ20" s="86"/>
      <c r="AK20" s="86"/>
      <c r="AL20" s="87"/>
      <c r="AM20" s="64"/>
    </row>
    <row r="21" ht="15.75" customHeight="1">
      <c r="A21" s="66">
        <v>4.0</v>
      </c>
      <c r="B21" s="11">
        <v>46008.0</v>
      </c>
      <c r="C21" s="12" t="s">
        <v>86</v>
      </c>
      <c r="D21" s="72" t="s">
        <v>78</v>
      </c>
      <c r="E21" s="45" t="s">
        <v>43</v>
      </c>
      <c r="F21" s="45">
        <v>12.0</v>
      </c>
      <c r="G21" s="68" t="s">
        <v>24</v>
      </c>
      <c r="H21" s="45">
        <v>13.0</v>
      </c>
      <c r="I21" s="45" t="s">
        <v>25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81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5" t="s">
        <v>11</v>
      </c>
      <c r="AE21" s="5" t="s">
        <v>12</v>
      </c>
      <c r="AF21" s="5" t="s">
        <v>13</v>
      </c>
      <c r="AG21" s="5" t="s">
        <v>14</v>
      </c>
      <c r="AH21" s="5" t="s">
        <v>15</v>
      </c>
      <c r="AI21" s="5" t="s">
        <v>16</v>
      </c>
      <c r="AJ21" s="5" t="s">
        <v>81</v>
      </c>
      <c r="AK21" s="5" t="s">
        <v>82</v>
      </c>
      <c r="AL21" s="5" t="s">
        <v>83</v>
      </c>
      <c r="AM21" s="64"/>
    </row>
    <row r="22" ht="15.75" customHeight="1">
      <c r="A22" s="25"/>
      <c r="B22" s="11">
        <v>46008.0</v>
      </c>
      <c r="C22" s="12" t="s">
        <v>52</v>
      </c>
      <c r="D22" s="72" t="s">
        <v>78</v>
      </c>
      <c r="E22" s="45" t="s">
        <v>33</v>
      </c>
      <c r="F22" s="45">
        <v>11.0</v>
      </c>
      <c r="G22" s="68" t="s">
        <v>24</v>
      </c>
      <c r="H22" s="45">
        <v>10.0</v>
      </c>
      <c r="I22" s="45" t="s">
        <v>85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22" t="s">
        <v>29</v>
      </c>
      <c r="AE22" s="71" t="s">
        <v>32</v>
      </c>
      <c r="AF22" s="23">
        <v>20.0</v>
      </c>
      <c r="AG22" s="23">
        <v>10.0</v>
      </c>
      <c r="AH22" s="23">
        <v>0.0</v>
      </c>
      <c r="AI22" s="24">
        <v>1.0</v>
      </c>
      <c r="AJ22" s="23">
        <v>139.0</v>
      </c>
      <c r="AK22" s="24">
        <v>101.0</v>
      </c>
      <c r="AL22" s="23">
        <v>38.0</v>
      </c>
      <c r="AM22" s="64"/>
    </row>
    <row r="23" ht="15.75" customHeight="1">
      <c r="A23" s="25"/>
      <c r="B23" s="11">
        <v>46008.0</v>
      </c>
      <c r="C23" s="67" t="s">
        <v>89</v>
      </c>
      <c r="D23" s="72" t="s">
        <v>78</v>
      </c>
      <c r="E23" s="45" t="s">
        <v>65</v>
      </c>
      <c r="F23" s="45">
        <v>8.0</v>
      </c>
      <c r="G23" s="68" t="s">
        <v>24</v>
      </c>
      <c r="H23" s="45">
        <v>13.0</v>
      </c>
      <c r="I23" s="45" t="s">
        <v>39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22" t="s">
        <v>34</v>
      </c>
      <c r="AE23" s="71" t="s">
        <v>33</v>
      </c>
      <c r="AF23" s="23">
        <v>20.0</v>
      </c>
      <c r="AG23" s="23">
        <v>10.0</v>
      </c>
      <c r="AH23" s="23">
        <v>0.0</v>
      </c>
      <c r="AI23" s="24">
        <v>1.0</v>
      </c>
      <c r="AJ23" s="23">
        <v>130.0</v>
      </c>
      <c r="AK23" s="24">
        <v>78.0</v>
      </c>
      <c r="AL23" s="23">
        <v>52.0</v>
      </c>
      <c r="AM23" s="64"/>
    </row>
    <row r="24" ht="15.75" customHeight="1">
      <c r="A24" s="25"/>
      <c r="B24" s="11">
        <v>46008.0</v>
      </c>
      <c r="C24" s="67" t="s">
        <v>90</v>
      </c>
      <c r="D24" s="72" t="s">
        <v>78</v>
      </c>
      <c r="E24" s="45" t="s">
        <v>36</v>
      </c>
      <c r="F24" s="45">
        <v>10.0</v>
      </c>
      <c r="G24" s="68" t="s">
        <v>24</v>
      </c>
      <c r="H24" s="45">
        <v>12.0</v>
      </c>
      <c r="I24" s="45" t="s">
        <v>32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22" t="s">
        <v>38</v>
      </c>
      <c r="AE24" s="71" t="s">
        <v>36</v>
      </c>
      <c r="AF24" s="23">
        <v>16.0</v>
      </c>
      <c r="AG24" s="23">
        <v>8.0</v>
      </c>
      <c r="AH24" s="23">
        <v>0.0</v>
      </c>
      <c r="AI24" s="24">
        <v>3.0</v>
      </c>
      <c r="AJ24" s="23">
        <v>117.0</v>
      </c>
      <c r="AK24" s="24">
        <v>87.0</v>
      </c>
      <c r="AL24" s="23">
        <v>30.0</v>
      </c>
      <c r="AM24" s="64"/>
    </row>
    <row r="25" ht="15.75" customHeight="1">
      <c r="A25" s="25"/>
      <c r="B25" s="11">
        <v>46008.0</v>
      </c>
      <c r="C25" s="67" t="s">
        <v>53</v>
      </c>
      <c r="D25" s="72" t="s">
        <v>78</v>
      </c>
      <c r="E25" s="45" t="s">
        <v>37</v>
      </c>
      <c r="F25" s="45">
        <v>8.0</v>
      </c>
      <c r="G25" s="68" t="s">
        <v>24</v>
      </c>
      <c r="H25" s="45">
        <v>17.0</v>
      </c>
      <c r="I25" s="45" t="s">
        <v>64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22" t="s">
        <v>41</v>
      </c>
      <c r="AE25" s="71" t="s">
        <v>39</v>
      </c>
      <c r="AF25" s="23">
        <v>14.0</v>
      </c>
      <c r="AG25" s="23">
        <v>7.0</v>
      </c>
      <c r="AH25" s="23">
        <v>0.0</v>
      </c>
      <c r="AI25" s="24">
        <v>4.0</v>
      </c>
      <c r="AJ25" s="23">
        <v>110.0</v>
      </c>
      <c r="AK25" s="24">
        <v>79.0</v>
      </c>
      <c r="AL25" s="23">
        <v>31.0</v>
      </c>
      <c r="AM25" s="64"/>
    </row>
    <row r="26" ht="15.75" customHeight="1">
      <c r="A26" s="29"/>
      <c r="B26" s="11">
        <v>46008.0</v>
      </c>
      <c r="C26" s="67" t="s">
        <v>92</v>
      </c>
      <c r="D26" s="72" t="s">
        <v>78</v>
      </c>
      <c r="E26" s="45" t="s">
        <v>61</v>
      </c>
      <c r="F26" s="45">
        <v>11.0</v>
      </c>
      <c r="G26" s="68" t="s">
        <v>24</v>
      </c>
      <c r="H26" s="45">
        <v>10.0</v>
      </c>
      <c r="I26" s="45" t="s">
        <v>88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22" t="s">
        <v>44</v>
      </c>
      <c r="AE26" s="71" t="s">
        <v>25</v>
      </c>
      <c r="AF26" s="23">
        <v>14.0</v>
      </c>
      <c r="AG26" s="23">
        <v>7.0</v>
      </c>
      <c r="AH26" s="23">
        <v>0.0</v>
      </c>
      <c r="AI26" s="24">
        <v>4.0</v>
      </c>
      <c r="AJ26" s="23">
        <v>95.0</v>
      </c>
      <c r="AK26" s="24">
        <v>83.0</v>
      </c>
      <c r="AL26" s="23">
        <v>12.0</v>
      </c>
      <c r="AM26" s="64"/>
    </row>
    <row r="27" ht="15.75" customHeight="1">
      <c r="A27" s="66">
        <v>5.0</v>
      </c>
      <c r="B27" s="11">
        <v>46072.0</v>
      </c>
      <c r="C27" s="39" t="s">
        <v>51</v>
      </c>
      <c r="D27" s="12" t="s">
        <v>78</v>
      </c>
      <c r="E27" s="45" t="s">
        <v>43</v>
      </c>
      <c r="F27" s="45">
        <v>8.0</v>
      </c>
      <c r="G27" s="68" t="s">
        <v>24</v>
      </c>
      <c r="H27" s="45">
        <v>10.0</v>
      </c>
      <c r="I27" s="45" t="s">
        <v>33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22" t="s">
        <v>47</v>
      </c>
      <c r="AE27" s="71" t="s">
        <v>43</v>
      </c>
      <c r="AF27" s="23">
        <v>10.0</v>
      </c>
      <c r="AG27" s="23">
        <v>5.0</v>
      </c>
      <c r="AH27" s="23">
        <v>0.0</v>
      </c>
      <c r="AI27" s="24">
        <v>6.0</v>
      </c>
      <c r="AJ27" s="23">
        <v>115.0</v>
      </c>
      <c r="AK27" s="24">
        <v>119.0</v>
      </c>
      <c r="AL27" s="23">
        <v>-4.0</v>
      </c>
      <c r="AM27" s="64"/>
    </row>
    <row r="28" ht="15.75" customHeight="1">
      <c r="A28" s="25"/>
      <c r="B28" s="11">
        <v>46072.0</v>
      </c>
      <c r="C28" s="39" t="s">
        <v>97</v>
      </c>
      <c r="D28" s="12" t="s">
        <v>78</v>
      </c>
      <c r="E28" s="45" t="s">
        <v>85</v>
      </c>
      <c r="F28" s="45">
        <v>8.0</v>
      </c>
      <c r="G28" s="68" t="s">
        <v>24</v>
      </c>
      <c r="H28" s="45">
        <v>5.0</v>
      </c>
      <c r="I28" s="45" t="s">
        <v>65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53">
        <v>7.0</v>
      </c>
      <c r="AE28" s="71" t="s">
        <v>61</v>
      </c>
      <c r="AF28" s="23">
        <v>8.0</v>
      </c>
      <c r="AG28" s="23">
        <v>4.0</v>
      </c>
      <c r="AH28" s="23">
        <v>0.0</v>
      </c>
      <c r="AI28" s="24">
        <v>7.0</v>
      </c>
      <c r="AJ28" s="23">
        <v>85.0</v>
      </c>
      <c r="AK28" s="24">
        <v>124.0</v>
      </c>
      <c r="AL28" s="23">
        <v>-39.0</v>
      </c>
      <c r="AM28" s="64"/>
    </row>
    <row r="29" ht="15.75" customHeight="1">
      <c r="A29" s="25"/>
      <c r="B29" s="11">
        <v>46072.0</v>
      </c>
      <c r="C29" s="39" t="s">
        <v>87</v>
      </c>
      <c r="D29" s="12" t="s">
        <v>78</v>
      </c>
      <c r="E29" s="45" t="s">
        <v>39</v>
      </c>
      <c r="F29" s="45">
        <v>8.0</v>
      </c>
      <c r="G29" s="68" t="s">
        <v>24</v>
      </c>
      <c r="H29" s="45">
        <v>12.0</v>
      </c>
      <c r="I29" s="45" t="s">
        <v>36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53">
        <v>8.0</v>
      </c>
      <c r="AE29" s="75" t="s">
        <v>37</v>
      </c>
      <c r="AF29" s="49">
        <v>6.0</v>
      </c>
      <c r="AG29" s="49">
        <v>3.0</v>
      </c>
      <c r="AH29" s="49">
        <v>0.0</v>
      </c>
      <c r="AI29" s="50">
        <v>8.0</v>
      </c>
      <c r="AJ29" s="49">
        <v>93.0</v>
      </c>
      <c r="AK29" s="50">
        <v>118.0</v>
      </c>
      <c r="AL29" s="49">
        <v>-25.0</v>
      </c>
      <c r="AM29" s="64"/>
    </row>
    <row r="30" ht="15.75" customHeight="1">
      <c r="A30" s="25"/>
      <c r="B30" s="11">
        <v>46072.0</v>
      </c>
      <c r="C30" s="12" t="s">
        <v>55</v>
      </c>
      <c r="D30" s="12" t="s">
        <v>78</v>
      </c>
      <c r="E30" s="45" t="s">
        <v>32</v>
      </c>
      <c r="F30" s="45">
        <v>10.0</v>
      </c>
      <c r="G30" s="68" t="s">
        <v>24</v>
      </c>
      <c r="H30" s="45">
        <v>9.0</v>
      </c>
      <c r="I30" s="45" t="s">
        <v>37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74" t="s">
        <v>91</v>
      </c>
      <c r="AE30" s="71" t="s">
        <v>85</v>
      </c>
      <c r="AF30" s="23">
        <v>6.0</v>
      </c>
      <c r="AG30" s="23">
        <v>3.0</v>
      </c>
      <c r="AH30" s="23">
        <v>0.0</v>
      </c>
      <c r="AI30" s="24">
        <v>8.0</v>
      </c>
      <c r="AJ30" s="23">
        <v>94.0</v>
      </c>
      <c r="AK30" s="24">
        <v>118.0</v>
      </c>
      <c r="AL30" s="23">
        <v>-24.0</v>
      </c>
      <c r="AM30" s="64"/>
    </row>
    <row r="31" ht="15.75" customHeight="1">
      <c r="A31" s="25"/>
      <c r="B31" s="11">
        <v>46072.0</v>
      </c>
      <c r="C31" s="67" t="s">
        <v>84</v>
      </c>
      <c r="D31" s="12" t="s">
        <v>78</v>
      </c>
      <c r="E31" s="45" t="s">
        <v>64</v>
      </c>
      <c r="F31" s="45">
        <v>3.0</v>
      </c>
      <c r="G31" s="68" t="s">
        <v>24</v>
      </c>
      <c r="H31" s="45">
        <v>9.0</v>
      </c>
      <c r="I31" s="45" t="s">
        <v>61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77">
        <v>10.0</v>
      </c>
      <c r="AE31" s="79" t="s">
        <v>65</v>
      </c>
      <c r="AF31" s="23">
        <v>6.0</v>
      </c>
      <c r="AG31" s="23">
        <v>3.0</v>
      </c>
      <c r="AH31" s="23">
        <v>0.0</v>
      </c>
      <c r="AI31" s="23">
        <v>8.0</v>
      </c>
      <c r="AJ31" s="23">
        <v>84.0</v>
      </c>
      <c r="AK31" s="23">
        <v>126.0</v>
      </c>
      <c r="AL31" s="23">
        <v>-42.0</v>
      </c>
      <c r="AM31" s="64"/>
    </row>
    <row r="32" ht="15.75" customHeight="1">
      <c r="A32" s="29"/>
      <c r="B32" s="11">
        <v>46072.0</v>
      </c>
      <c r="C32" s="12" t="s">
        <v>86</v>
      </c>
      <c r="D32" s="12" t="s">
        <v>78</v>
      </c>
      <c r="E32" s="45" t="s">
        <v>25</v>
      </c>
      <c r="F32" s="45">
        <v>9.0</v>
      </c>
      <c r="G32" s="68" t="s">
        <v>24</v>
      </c>
      <c r="H32" s="45">
        <v>8.0</v>
      </c>
      <c r="I32" s="45" t="s">
        <v>88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34">
        <v>11.0</v>
      </c>
      <c r="AE32" s="71" t="s">
        <v>88</v>
      </c>
      <c r="AF32" s="23">
        <v>6.0</v>
      </c>
      <c r="AG32" s="23">
        <v>3.0</v>
      </c>
      <c r="AH32" s="23">
        <v>0.0</v>
      </c>
      <c r="AI32" s="24">
        <v>8.0</v>
      </c>
      <c r="AJ32" s="23">
        <v>83.0</v>
      </c>
      <c r="AK32" s="24">
        <v>116.0</v>
      </c>
      <c r="AL32" s="23">
        <v>-33.0</v>
      </c>
      <c r="AM32" s="64"/>
    </row>
    <row r="33" ht="15.75" customHeight="1">
      <c r="A33" s="66">
        <v>6.0</v>
      </c>
      <c r="B33" s="11">
        <v>46072.0</v>
      </c>
      <c r="C33" s="12" t="s">
        <v>52</v>
      </c>
      <c r="D33" s="12" t="s">
        <v>78</v>
      </c>
      <c r="E33" s="45" t="s">
        <v>33</v>
      </c>
      <c r="F33" s="45">
        <v>4.0</v>
      </c>
      <c r="G33" s="68" t="s">
        <v>24</v>
      </c>
      <c r="H33" s="45">
        <v>2.0</v>
      </c>
      <c r="I33" s="45" t="s">
        <v>25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34">
        <v>12.0</v>
      </c>
      <c r="AE33" s="79" t="s">
        <v>64</v>
      </c>
      <c r="AF33" s="23">
        <v>4.0</v>
      </c>
      <c r="AG33" s="23">
        <v>2.0</v>
      </c>
      <c r="AH33" s="23">
        <v>0.0</v>
      </c>
      <c r="AI33" s="23">
        <v>9.0</v>
      </c>
      <c r="AJ33" s="23">
        <v>98.0</v>
      </c>
      <c r="AK33" s="23">
        <v>120.0</v>
      </c>
      <c r="AL33" s="23">
        <v>-22.0</v>
      </c>
      <c r="AM33" s="64"/>
    </row>
    <row r="34" ht="15.75" customHeight="1">
      <c r="A34" s="25"/>
      <c r="B34" s="11">
        <v>46072.0</v>
      </c>
      <c r="C34" s="67" t="s">
        <v>89</v>
      </c>
      <c r="D34" s="12" t="s">
        <v>78</v>
      </c>
      <c r="E34" s="45" t="s">
        <v>65</v>
      </c>
      <c r="F34" s="45">
        <v>6.0</v>
      </c>
      <c r="G34" s="68" t="s">
        <v>24</v>
      </c>
      <c r="H34" s="45">
        <v>16.0</v>
      </c>
      <c r="I34" s="45" t="s">
        <v>43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35" t="s">
        <v>99</v>
      </c>
      <c r="AG34" s="64"/>
      <c r="AH34" s="64"/>
      <c r="AI34" s="37"/>
      <c r="AJ34" s="37"/>
      <c r="AK34" s="37"/>
      <c r="AL34" s="37"/>
      <c r="AM34" s="64"/>
    </row>
    <row r="35" ht="15.75" customHeight="1">
      <c r="A35" s="25"/>
      <c r="B35" s="11">
        <v>46072.0</v>
      </c>
      <c r="C35" s="67" t="s">
        <v>90</v>
      </c>
      <c r="D35" s="12" t="s">
        <v>78</v>
      </c>
      <c r="E35" s="45" t="s">
        <v>36</v>
      </c>
      <c r="F35" s="45">
        <v>11.0</v>
      </c>
      <c r="G35" s="68" t="s">
        <v>24</v>
      </c>
      <c r="H35" s="45">
        <v>8.0</v>
      </c>
      <c r="I35" s="45" t="s">
        <v>85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80" t="s">
        <v>96</v>
      </c>
      <c r="AG35" s="64"/>
      <c r="AH35" s="64"/>
      <c r="AI35" s="37"/>
      <c r="AJ35" s="37"/>
      <c r="AK35" s="37"/>
      <c r="AL35" s="37"/>
      <c r="AM35" s="64"/>
    </row>
    <row r="36" ht="15.75" customHeight="1">
      <c r="A36" s="25"/>
      <c r="B36" s="11">
        <v>46072.0</v>
      </c>
      <c r="C36" s="67" t="s">
        <v>53</v>
      </c>
      <c r="D36" s="12" t="s">
        <v>78</v>
      </c>
      <c r="E36" s="45" t="s">
        <v>37</v>
      </c>
      <c r="F36" s="45">
        <v>2.0</v>
      </c>
      <c r="G36" s="68" t="s">
        <v>24</v>
      </c>
      <c r="H36" s="45">
        <v>9.0</v>
      </c>
      <c r="I36" s="45" t="s">
        <v>39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37"/>
      <c r="AE36" s="37"/>
      <c r="AF36" s="37"/>
      <c r="AG36" s="37"/>
      <c r="AH36" s="37"/>
      <c r="AI36" s="37"/>
      <c r="AJ36" s="37"/>
      <c r="AK36" s="37"/>
      <c r="AL36" s="37"/>
      <c r="AM36" s="64"/>
    </row>
    <row r="37" ht="15.75" customHeight="1">
      <c r="A37" s="25"/>
      <c r="B37" s="11">
        <v>46072.0</v>
      </c>
      <c r="C37" s="67" t="s">
        <v>92</v>
      </c>
      <c r="D37" s="12" t="s">
        <v>78</v>
      </c>
      <c r="E37" s="45" t="s">
        <v>61</v>
      </c>
      <c r="F37" s="45">
        <v>8.0</v>
      </c>
      <c r="G37" s="68" t="s">
        <v>24</v>
      </c>
      <c r="H37" s="45">
        <v>14.0</v>
      </c>
      <c r="I37" s="45" t="s">
        <v>32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37"/>
      <c r="AE37" s="37"/>
      <c r="AF37" s="37"/>
      <c r="AG37" s="37"/>
      <c r="AH37" s="37"/>
      <c r="AI37" s="37"/>
      <c r="AJ37" s="37"/>
      <c r="AK37" s="37"/>
      <c r="AL37" s="37"/>
      <c r="AM37" s="64"/>
    </row>
    <row r="38" ht="15.75" customHeight="1">
      <c r="A38" s="29"/>
      <c r="B38" s="11">
        <v>46072.0</v>
      </c>
      <c r="C38" s="12" t="s">
        <v>93</v>
      </c>
      <c r="D38" s="12" t="s">
        <v>78</v>
      </c>
      <c r="E38" s="45" t="s">
        <v>88</v>
      </c>
      <c r="F38" s="45">
        <v>10.0</v>
      </c>
      <c r="G38" s="68" t="s">
        <v>24</v>
      </c>
      <c r="H38" s="45">
        <v>8.0</v>
      </c>
      <c r="I38" s="45" t="s">
        <v>64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4"/>
      <c r="AG38" s="37"/>
      <c r="AI38" s="37"/>
      <c r="AJ38" s="37"/>
      <c r="AK38" s="37"/>
      <c r="AL38" s="37"/>
      <c r="AM38" s="64"/>
    </row>
    <row r="39" ht="15.75" customHeight="1">
      <c r="A39" s="66">
        <v>7.0</v>
      </c>
      <c r="B39" s="11">
        <v>46085.0</v>
      </c>
      <c r="C39" s="12" t="s">
        <v>51</v>
      </c>
      <c r="D39" s="12" t="s">
        <v>22</v>
      </c>
      <c r="E39" s="45" t="s">
        <v>33</v>
      </c>
      <c r="F39" s="45">
        <v>14.0</v>
      </c>
      <c r="G39" s="68" t="s">
        <v>24</v>
      </c>
      <c r="H39" s="45">
        <v>7.0</v>
      </c>
      <c r="I39" s="45" t="s">
        <v>65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I39" s="37"/>
      <c r="AJ39" s="37"/>
      <c r="AK39" s="37"/>
      <c r="AL39" s="37"/>
      <c r="AM39" s="64"/>
    </row>
    <row r="40" ht="15.75" customHeight="1">
      <c r="A40" s="25"/>
      <c r="B40" s="11">
        <v>46085.0</v>
      </c>
      <c r="C40" s="67" t="s">
        <v>52</v>
      </c>
      <c r="D40" s="12" t="s">
        <v>22</v>
      </c>
      <c r="E40" s="45" t="s">
        <v>43</v>
      </c>
      <c r="F40" s="45">
        <v>6.0</v>
      </c>
      <c r="G40" s="68" t="s">
        <v>24</v>
      </c>
      <c r="H40" s="45">
        <v>12.0</v>
      </c>
      <c r="I40" s="45" t="s">
        <v>36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I40" s="37"/>
      <c r="AJ40" s="37"/>
      <c r="AK40" s="37"/>
      <c r="AL40" s="37"/>
      <c r="AM40" s="64"/>
    </row>
    <row r="41" ht="15.75" customHeight="1">
      <c r="A41" s="25"/>
      <c r="B41" s="11">
        <v>46085.0</v>
      </c>
      <c r="C41" s="12" t="s">
        <v>87</v>
      </c>
      <c r="D41" s="39" t="s">
        <v>22</v>
      </c>
      <c r="E41" s="45" t="s">
        <v>85</v>
      </c>
      <c r="F41" s="45">
        <v>7.0</v>
      </c>
      <c r="G41" s="68" t="s">
        <v>24</v>
      </c>
      <c r="H41" s="45">
        <v>14.0</v>
      </c>
      <c r="I41" s="45" t="s">
        <v>37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I41" s="37"/>
      <c r="AJ41" s="37"/>
      <c r="AK41" s="37"/>
      <c r="AL41" s="37"/>
      <c r="AM41" s="64"/>
    </row>
    <row r="42" ht="15.75" customHeight="1">
      <c r="A42" s="25"/>
      <c r="B42" s="11">
        <v>46085.0</v>
      </c>
      <c r="C42" s="67" t="s">
        <v>55</v>
      </c>
      <c r="D42" s="12" t="s">
        <v>22</v>
      </c>
      <c r="E42" s="45" t="s">
        <v>39</v>
      </c>
      <c r="F42" s="45">
        <v>14.0</v>
      </c>
      <c r="G42" s="68" t="s">
        <v>24</v>
      </c>
      <c r="H42" s="45">
        <v>8.0</v>
      </c>
      <c r="I42" s="45" t="s">
        <v>61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I42" s="37"/>
      <c r="AJ42" s="37"/>
      <c r="AK42" s="37"/>
      <c r="AL42" s="37"/>
      <c r="AM42" s="64"/>
    </row>
    <row r="43" ht="15.75" customHeight="1">
      <c r="A43" s="25"/>
      <c r="B43" s="11">
        <v>46085.0</v>
      </c>
      <c r="C43" s="67" t="s">
        <v>84</v>
      </c>
      <c r="D43" s="12" t="s">
        <v>22</v>
      </c>
      <c r="E43" s="45" t="s">
        <v>32</v>
      </c>
      <c r="F43" s="45">
        <v>10.0</v>
      </c>
      <c r="G43" s="68" t="s">
        <v>24</v>
      </c>
      <c r="H43" s="45">
        <v>4.0</v>
      </c>
      <c r="I43" s="45" t="s">
        <v>88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I43" s="37"/>
      <c r="AJ43" s="37"/>
      <c r="AK43" s="37"/>
      <c r="AL43" s="37"/>
      <c r="AM43" s="64"/>
    </row>
    <row r="44" ht="15.75" customHeight="1">
      <c r="A44" s="29"/>
      <c r="B44" s="11">
        <v>46085.0</v>
      </c>
      <c r="C44" s="67" t="s">
        <v>92</v>
      </c>
      <c r="D44" s="12" t="s">
        <v>22</v>
      </c>
      <c r="E44" s="45" t="s">
        <v>25</v>
      </c>
      <c r="F44" s="45">
        <v>18.0</v>
      </c>
      <c r="G44" s="68" t="s">
        <v>24</v>
      </c>
      <c r="H44" s="45">
        <v>12.0</v>
      </c>
      <c r="I44" s="45" t="s">
        <v>64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I44" s="37"/>
      <c r="AJ44" s="37"/>
      <c r="AK44" s="37"/>
      <c r="AL44" s="37"/>
      <c r="AM44" s="64"/>
    </row>
    <row r="45" ht="15.75" customHeight="1">
      <c r="A45" s="66">
        <v>8.0</v>
      </c>
      <c r="B45" s="11">
        <v>46085.0</v>
      </c>
      <c r="C45" s="12" t="s">
        <v>97</v>
      </c>
      <c r="D45" s="12" t="s">
        <v>22</v>
      </c>
      <c r="E45" s="45" t="s">
        <v>65</v>
      </c>
      <c r="F45" s="45">
        <v>5.0</v>
      </c>
      <c r="G45" s="68" t="s">
        <v>24</v>
      </c>
      <c r="H45" s="45">
        <v>14.0</v>
      </c>
      <c r="I45" s="45" t="s">
        <v>25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I45" s="37"/>
      <c r="AJ45" s="37"/>
      <c r="AK45" s="37"/>
      <c r="AL45" s="37"/>
      <c r="AM45" s="64"/>
    </row>
    <row r="46" ht="15.75" customHeight="1">
      <c r="A46" s="25"/>
      <c r="B46" s="11">
        <v>46085.0</v>
      </c>
      <c r="C46" s="67" t="s">
        <v>89</v>
      </c>
      <c r="D46" s="12" t="s">
        <v>22</v>
      </c>
      <c r="E46" s="45" t="s">
        <v>36</v>
      </c>
      <c r="F46" s="45">
        <v>6.0</v>
      </c>
      <c r="G46" s="68" t="s">
        <v>24</v>
      </c>
      <c r="H46" s="45">
        <v>9.0</v>
      </c>
      <c r="I46" s="45" t="s">
        <v>33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37"/>
      <c r="AE46" s="37"/>
      <c r="AF46" s="37"/>
      <c r="AG46" s="37"/>
      <c r="AH46" s="37"/>
      <c r="AI46" s="37"/>
      <c r="AJ46" s="37"/>
      <c r="AK46" s="37"/>
      <c r="AL46" s="37"/>
      <c r="AM46" s="64"/>
    </row>
    <row r="47" ht="15.75" customHeight="1">
      <c r="A47" s="25"/>
      <c r="B47" s="11">
        <v>46085.0</v>
      </c>
      <c r="C47" s="67" t="s">
        <v>90</v>
      </c>
      <c r="D47" s="12" t="s">
        <v>22</v>
      </c>
      <c r="E47" s="45" t="s">
        <v>37</v>
      </c>
      <c r="F47" s="45">
        <v>11.0</v>
      </c>
      <c r="G47" s="68" t="s">
        <v>24</v>
      </c>
      <c r="H47" s="45">
        <v>17.0</v>
      </c>
      <c r="I47" s="45" t="s">
        <v>43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37"/>
      <c r="AE47" s="37"/>
      <c r="AF47" s="37"/>
      <c r="AG47" s="37"/>
      <c r="AH47" s="37"/>
      <c r="AI47" s="37"/>
      <c r="AJ47" s="37"/>
      <c r="AK47" s="37"/>
      <c r="AL47" s="37"/>
      <c r="AM47" s="64"/>
    </row>
    <row r="48" ht="15.75" customHeight="1">
      <c r="A48" s="25"/>
      <c r="B48" s="11">
        <v>46085.0</v>
      </c>
      <c r="C48" s="67" t="s">
        <v>53</v>
      </c>
      <c r="D48" s="12" t="s">
        <v>22</v>
      </c>
      <c r="E48" s="45" t="s">
        <v>61</v>
      </c>
      <c r="F48" s="45">
        <v>14.0</v>
      </c>
      <c r="G48" s="68" t="s">
        <v>24</v>
      </c>
      <c r="H48" s="45">
        <v>8.0</v>
      </c>
      <c r="I48" s="45" t="s">
        <v>85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4"/>
      <c r="X48" s="64"/>
      <c r="Y48" s="64"/>
      <c r="Z48" s="64"/>
      <c r="AA48" s="64"/>
      <c r="AB48" s="64"/>
      <c r="AC48" s="64"/>
      <c r="AD48" s="37"/>
      <c r="AE48" s="37"/>
      <c r="AF48" s="37"/>
      <c r="AG48" s="37"/>
      <c r="AH48" s="37"/>
      <c r="AI48" s="37"/>
      <c r="AJ48" s="37"/>
      <c r="AK48" s="37"/>
      <c r="AL48" s="37"/>
      <c r="AM48" s="64"/>
    </row>
    <row r="49" ht="15.75" customHeight="1">
      <c r="A49" s="25"/>
      <c r="B49" s="11">
        <v>46085.0</v>
      </c>
      <c r="C49" s="67" t="s">
        <v>86</v>
      </c>
      <c r="D49" s="12" t="s">
        <v>22</v>
      </c>
      <c r="E49" s="45" t="s">
        <v>88</v>
      </c>
      <c r="F49" s="45">
        <v>4.0</v>
      </c>
      <c r="G49" s="68" t="s">
        <v>24</v>
      </c>
      <c r="H49" s="45">
        <v>15.0</v>
      </c>
      <c r="I49" s="45" t="s">
        <v>39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4"/>
      <c r="X49" s="64"/>
      <c r="Y49" s="64"/>
      <c r="Z49" s="64"/>
      <c r="AA49" s="64"/>
      <c r="AB49" s="64"/>
      <c r="AC49" s="64"/>
      <c r="AD49" s="37"/>
      <c r="AE49" s="37"/>
      <c r="AF49" s="37"/>
      <c r="AG49" s="37"/>
      <c r="AH49" s="37"/>
      <c r="AI49" s="37"/>
      <c r="AJ49" s="37"/>
      <c r="AK49" s="37"/>
      <c r="AL49" s="37"/>
      <c r="AM49" s="64"/>
    </row>
    <row r="50" ht="15.75" customHeight="1">
      <c r="A50" s="29"/>
      <c r="B50" s="11">
        <v>46085.0</v>
      </c>
      <c r="C50" s="67" t="s">
        <v>93</v>
      </c>
      <c r="D50" s="12" t="s">
        <v>22</v>
      </c>
      <c r="E50" s="45" t="s">
        <v>64</v>
      </c>
      <c r="F50" s="45">
        <v>11.0</v>
      </c>
      <c r="G50" s="68" t="s">
        <v>24</v>
      </c>
      <c r="H50" s="45">
        <v>13.0</v>
      </c>
      <c r="I50" s="45" t="s">
        <v>32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4"/>
      <c r="X50" s="64"/>
      <c r="Y50" s="64"/>
      <c r="Z50" s="64"/>
      <c r="AA50" s="64"/>
      <c r="AB50" s="64"/>
      <c r="AC50" s="64"/>
      <c r="AD50" s="37"/>
      <c r="AE50" s="37"/>
      <c r="AF50" s="37"/>
      <c r="AG50" s="37"/>
      <c r="AH50" s="37"/>
      <c r="AI50" s="37"/>
      <c r="AJ50" s="37"/>
      <c r="AK50" s="37"/>
      <c r="AL50" s="37"/>
      <c r="AM50" s="64"/>
    </row>
    <row r="51" ht="15.75" customHeight="1">
      <c r="A51" s="66">
        <v>9.0</v>
      </c>
      <c r="B51" s="11">
        <v>46099.0</v>
      </c>
      <c r="C51" s="67" t="s">
        <v>52</v>
      </c>
      <c r="D51" s="12" t="s">
        <v>78</v>
      </c>
      <c r="E51" s="45" t="s">
        <v>65</v>
      </c>
      <c r="F51" s="45">
        <v>6.0</v>
      </c>
      <c r="G51" s="68" t="s">
        <v>24</v>
      </c>
      <c r="H51" s="45">
        <v>17.0</v>
      </c>
      <c r="I51" s="45" t="s">
        <v>36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4"/>
      <c r="X51" s="64"/>
      <c r="Y51" s="64"/>
      <c r="Z51" s="64"/>
      <c r="AA51" s="64"/>
      <c r="AB51" s="64"/>
      <c r="AC51" s="64"/>
      <c r="AD51" s="37"/>
      <c r="AE51" s="37"/>
      <c r="AF51" s="37"/>
      <c r="AG51" s="37"/>
      <c r="AH51" s="37"/>
      <c r="AI51" s="37"/>
      <c r="AJ51" s="37"/>
      <c r="AK51" s="37"/>
      <c r="AL51" s="37"/>
      <c r="AM51" s="64"/>
    </row>
    <row r="52" ht="15.75" customHeight="1">
      <c r="A52" s="25"/>
      <c r="B52" s="11">
        <v>46099.0</v>
      </c>
      <c r="C52" s="67" t="s">
        <v>89</v>
      </c>
      <c r="D52" s="12" t="s">
        <v>78</v>
      </c>
      <c r="E52" s="45" t="s">
        <v>33</v>
      </c>
      <c r="F52" s="45">
        <v>11.0</v>
      </c>
      <c r="G52" s="68" t="s">
        <v>24</v>
      </c>
      <c r="H52" s="45">
        <v>7.0</v>
      </c>
      <c r="I52" s="45" t="s">
        <v>37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4"/>
      <c r="X52" s="64"/>
      <c r="Y52" s="64"/>
      <c r="Z52" s="64"/>
      <c r="AA52" s="64"/>
      <c r="AB52" s="64"/>
      <c r="AC52" s="64"/>
      <c r="AD52" s="37"/>
      <c r="AE52" s="37"/>
      <c r="AF52" s="37"/>
      <c r="AG52" s="37"/>
      <c r="AH52" s="37"/>
      <c r="AI52" s="37"/>
      <c r="AJ52" s="37"/>
      <c r="AK52" s="37"/>
      <c r="AL52" s="37"/>
      <c r="AM52" s="64"/>
    </row>
    <row r="53" ht="15.75" customHeight="1">
      <c r="A53" s="25"/>
      <c r="B53" s="11">
        <v>46099.0</v>
      </c>
      <c r="C53" s="67" t="s">
        <v>90</v>
      </c>
      <c r="D53" s="12" t="s">
        <v>78</v>
      </c>
      <c r="E53" s="45" t="s">
        <v>43</v>
      </c>
      <c r="F53" s="45">
        <v>14.0</v>
      </c>
      <c r="G53" s="68" t="s">
        <v>24</v>
      </c>
      <c r="H53" s="45">
        <v>6.0</v>
      </c>
      <c r="I53" s="45" t="s">
        <v>61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4"/>
      <c r="X53" s="64"/>
      <c r="Y53" s="64"/>
      <c r="Z53" s="64"/>
      <c r="AA53" s="64"/>
      <c r="AB53" s="64"/>
      <c r="AC53" s="64"/>
      <c r="AD53" s="37"/>
      <c r="AE53" s="37"/>
      <c r="AF53" s="37"/>
      <c r="AG53" s="37"/>
      <c r="AH53" s="37"/>
      <c r="AI53" s="37"/>
      <c r="AJ53" s="37"/>
      <c r="AK53" s="37"/>
      <c r="AL53" s="37"/>
      <c r="AM53" s="64"/>
    </row>
    <row r="54" ht="15.75" customHeight="1">
      <c r="A54" s="25"/>
      <c r="B54" s="11">
        <v>46099.0</v>
      </c>
      <c r="C54" s="67" t="s">
        <v>53</v>
      </c>
      <c r="D54" s="12" t="s">
        <v>78</v>
      </c>
      <c r="E54" s="45" t="s">
        <v>85</v>
      </c>
      <c r="F54" s="45">
        <v>8.0</v>
      </c>
      <c r="G54" s="68" t="s">
        <v>24</v>
      </c>
      <c r="H54" s="45">
        <v>10.0</v>
      </c>
      <c r="I54" s="45" t="s">
        <v>88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4"/>
      <c r="X54" s="64"/>
      <c r="Y54" s="64"/>
      <c r="Z54" s="64"/>
      <c r="AA54" s="64"/>
      <c r="AB54" s="64"/>
      <c r="AC54" s="64"/>
      <c r="AD54" s="37"/>
      <c r="AE54" s="37"/>
      <c r="AF54" s="37"/>
      <c r="AG54" s="37"/>
      <c r="AH54" s="37"/>
      <c r="AI54" s="37"/>
      <c r="AJ54" s="37"/>
      <c r="AK54" s="37"/>
      <c r="AL54" s="37"/>
      <c r="AM54" s="64"/>
    </row>
    <row r="55" ht="15.75" customHeight="1">
      <c r="A55" s="25"/>
      <c r="B55" s="11">
        <v>46099.0</v>
      </c>
      <c r="C55" s="67" t="s">
        <v>92</v>
      </c>
      <c r="D55" s="12" t="s">
        <v>78</v>
      </c>
      <c r="E55" s="45" t="s">
        <v>39</v>
      </c>
      <c r="F55" s="45">
        <v>10.0</v>
      </c>
      <c r="G55" s="68" t="s">
        <v>24</v>
      </c>
      <c r="H55" s="45">
        <v>4.0</v>
      </c>
      <c r="I55" s="45" t="s">
        <v>64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4"/>
      <c r="X55" s="64"/>
      <c r="Y55" s="64"/>
      <c r="Z55" s="64"/>
      <c r="AA55" s="64"/>
      <c r="AB55" s="64"/>
      <c r="AC55" s="64"/>
      <c r="AD55" s="37"/>
      <c r="AE55" s="37"/>
      <c r="AF55" s="37"/>
      <c r="AG55" s="37"/>
      <c r="AH55" s="37"/>
      <c r="AI55" s="37"/>
      <c r="AJ55" s="37"/>
      <c r="AK55" s="37"/>
      <c r="AL55" s="37"/>
      <c r="AM55" s="64"/>
    </row>
    <row r="56" ht="15.75" customHeight="1">
      <c r="A56" s="29"/>
      <c r="B56" s="11">
        <v>46099.0</v>
      </c>
      <c r="C56" s="67" t="s">
        <v>93</v>
      </c>
      <c r="D56" s="12" t="s">
        <v>78</v>
      </c>
      <c r="E56" s="45" t="s">
        <v>25</v>
      </c>
      <c r="F56" s="45">
        <v>5.0</v>
      </c>
      <c r="G56" s="68" t="s">
        <v>24</v>
      </c>
      <c r="H56" s="45">
        <v>10.0</v>
      </c>
      <c r="I56" s="45" t="s">
        <v>32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4"/>
      <c r="X56" s="64"/>
      <c r="Y56" s="64"/>
      <c r="Z56" s="64"/>
      <c r="AA56" s="64"/>
      <c r="AB56" s="64"/>
      <c r="AC56" s="64"/>
      <c r="AD56" s="37"/>
      <c r="AE56" s="37"/>
      <c r="AF56" s="37"/>
      <c r="AG56" s="37"/>
      <c r="AH56" s="37"/>
      <c r="AI56" s="37"/>
      <c r="AJ56" s="37"/>
      <c r="AK56" s="37"/>
      <c r="AL56" s="37"/>
      <c r="AM56" s="64"/>
    </row>
    <row r="57" ht="15.75" customHeight="1">
      <c r="A57" s="66">
        <v>10.0</v>
      </c>
      <c r="B57" s="11">
        <v>46148.0</v>
      </c>
      <c r="C57" s="12" t="s">
        <v>51</v>
      </c>
      <c r="D57" s="12" t="s">
        <v>22</v>
      </c>
      <c r="E57" s="45" t="s">
        <v>25</v>
      </c>
      <c r="F57" s="45">
        <v>6.0</v>
      </c>
      <c r="G57" s="68" t="s">
        <v>24</v>
      </c>
      <c r="H57" s="45">
        <v>9.0</v>
      </c>
      <c r="I57" s="45" t="s">
        <v>36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4"/>
      <c r="X57" s="64"/>
      <c r="Y57" s="64"/>
      <c r="Z57" s="64"/>
      <c r="AA57" s="64"/>
      <c r="AB57" s="64"/>
      <c r="AC57" s="64"/>
      <c r="AD57" s="37"/>
      <c r="AE57" s="37"/>
      <c r="AF57" s="37"/>
      <c r="AG57" s="37"/>
      <c r="AH57" s="37"/>
      <c r="AI57" s="37"/>
      <c r="AJ57" s="37"/>
      <c r="AK57" s="37"/>
      <c r="AL57" s="37"/>
      <c r="AM57" s="64"/>
    </row>
    <row r="58" ht="15.75" customHeight="1">
      <c r="A58" s="25"/>
      <c r="B58" s="11">
        <v>46148.0</v>
      </c>
      <c r="C58" s="12" t="s">
        <v>97</v>
      </c>
      <c r="D58" s="12" t="s">
        <v>22</v>
      </c>
      <c r="E58" s="45" t="s">
        <v>37</v>
      </c>
      <c r="F58" s="45">
        <v>14.0</v>
      </c>
      <c r="G58" s="68" t="s">
        <v>24</v>
      </c>
      <c r="H58" s="45">
        <v>8.0</v>
      </c>
      <c r="I58" s="45" t="s">
        <v>65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4"/>
      <c r="X58" s="64"/>
      <c r="Y58" s="64"/>
      <c r="Z58" s="64"/>
      <c r="AA58" s="64"/>
      <c r="AB58" s="64"/>
      <c r="AC58" s="64"/>
      <c r="AD58" s="37"/>
      <c r="AE58" s="37"/>
      <c r="AF58" s="37"/>
      <c r="AG58" s="37"/>
      <c r="AH58" s="37"/>
      <c r="AI58" s="37"/>
      <c r="AJ58" s="37"/>
      <c r="AK58" s="37"/>
      <c r="AL58" s="37"/>
      <c r="AM58" s="64"/>
    </row>
    <row r="59" ht="15.75" customHeight="1">
      <c r="A59" s="25"/>
      <c r="B59" s="11">
        <v>46148.0</v>
      </c>
      <c r="C59" s="12" t="s">
        <v>87</v>
      </c>
      <c r="D59" s="12" t="s">
        <v>22</v>
      </c>
      <c r="E59" s="45" t="s">
        <v>61</v>
      </c>
      <c r="F59" s="45">
        <v>1.0</v>
      </c>
      <c r="G59" s="68" t="s">
        <v>24</v>
      </c>
      <c r="H59" s="45">
        <v>20.0</v>
      </c>
      <c r="I59" s="45" t="s">
        <v>33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4"/>
      <c r="X59" s="64"/>
      <c r="Y59" s="64"/>
      <c r="Z59" s="64"/>
      <c r="AA59" s="64"/>
      <c r="AB59" s="64"/>
      <c r="AC59" s="64"/>
      <c r="AD59" s="37"/>
      <c r="AE59" s="37"/>
      <c r="AF59" s="37"/>
      <c r="AG59" s="37"/>
      <c r="AH59" s="37"/>
      <c r="AI59" s="37"/>
      <c r="AJ59" s="37"/>
      <c r="AK59" s="37"/>
      <c r="AL59" s="37"/>
      <c r="AM59" s="64"/>
    </row>
    <row r="60" ht="15.75" customHeight="1">
      <c r="A60" s="25"/>
      <c r="B60" s="11">
        <v>46148.0</v>
      </c>
      <c r="C60" s="67" t="s">
        <v>55</v>
      </c>
      <c r="D60" s="12" t="s">
        <v>22</v>
      </c>
      <c r="E60" s="45" t="s">
        <v>88</v>
      </c>
      <c r="F60" s="45">
        <v>4.0</v>
      </c>
      <c r="G60" s="68" t="s">
        <v>24</v>
      </c>
      <c r="H60" s="45">
        <v>17.0</v>
      </c>
      <c r="I60" s="45" t="s">
        <v>43</v>
      </c>
      <c r="J60" s="4"/>
      <c r="K60" s="4">
        <f t="shared" si="1"/>
        <v>0</v>
      </c>
      <c r="L60" s="18">
        <f t="shared" si="2"/>
        <v>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4"/>
      <c r="X60" s="64"/>
      <c r="Y60" s="64"/>
      <c r="Z60" s="64"/>
      <c r="AA60" s="64"/>
      <c r="AB60" s="64"/>
      <c r="AC60" s="64"/>
      <c r="AD60" s="37"/>
      <c r="AE60" s="37"/>
      <c r="AF60" s="37"/>
      <c r="AG60" s="37"/>
      <c r="AH60" s="37"/>
      <c r="AI60" s="37"/>
      <c r="AJ60" s="37"/>
      <c r="AK60" s="37"/>
      <c r="AL60" s="37"/>
      <c r="AM60" s="64"/>
    </row>
    <row r="61" ht="15.75" customHeight="1">
      <c r="A61" s="25"/>
      <c r="B61" s="11">
        <v>46148.0</v>
      </c>
      <c r="C61" s="67" t="s">
        <v>84</v>
      </c>
      <c r="D61" s="12" t="s">
        <v>22</v>
      </c>
      <c r="E61" s="45" t="s">
        <v>64</v>
      </c>
      <c r="F61" s="45">
        <v>12.0</v>
      </c>
      <c r="G61" s="68" t="s">
        <v>24</v>
      </c>
      <c r="H61" s="45">
        <v>9.0</v>
      </c>
      <c r="I61" s="45" t="s">
        <v>85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4"/>
      <c r="X61" s="64"/>
      <c r="Y61" s="64"/>
      <c r="Z61" s="64"/>
      <c r="AA61" s="64"/>
      <c r="AB61" s="64"/>
      <c r="AC61" s="64"/>
      <c r="AD61" s="37"/>
      <c r="AE61" s="37"/>
      <c r="AF61" s="37"/>
      <c r="AG61" s="37"/>
      <c r="AH61" s="37"/>
      <c r="AI61" s="37"/>
      <c r="AJ61" s="37"/>
      <c r="AK61" s="37"/>
      <c r="AL61" s="37"/>
      <c r="AM61" s="64"/>
    </row>
    <row r="62" ht="15.75" customHeight="1">
      <c r="A62" s="29"/>
      <c r="B62" s="11">
        <v>46148.0</v>
      </c>
      <c r="C62" s="67" t="s">
        <v>86</v>
      </c>
      <c r="D62" s="12" t="s">
        <v>22</v>
      </c>
      <c r="E62" s="45" t="s">
        <v>32</v>
      </c>
      <c r="F62" s="45">
        <v>9.0</v>
      </c>
      <c r="G62" s="68" t="s">
        <v>24</v>
      </c>
      <c r="H62" s="45">
        <v>7.0</v>
      </c>
      <c r="I62" s="45" t="s">
        <v>39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4"/>
      <c r="X62" s="64"/>
      <c r="Y62" s="64"/>
      <c r="Z62" s="64"/>
      <c r="AA62" s="64"/>
      <c r="AB62" s="64"/>
      <c r="AC62" s="64"/>
      <c r="AD62" s="37"/>
      <c r="AE62" s="37"/>
      <c r="AF62" s="37"/>
      <c r="AG62" s="37"/>
      <c r="AH62" s="37"/>
      <c r="AI62" s="37"/>
      <c r="AJ62" s="37"/>
      <c r="AK62" s="37"/>
      <c r="AL62" s="37"/>
      <c r="AM62" s="64"/>
    </row>
    <row r="63" ht="15.75" customHeight="1">
      <c r="A63" s="66">
        <v>11.0</v>
      </c>
      <c r="B63" s="11">
        <v>46148.0</v>
      </c>
      <c r="C63" s="67" t="s">
        <v>52</v>
      </c>
      <c r="D63" s="12" t="s">
        <v>22</v>
      </c>
      <c r="E63" s="45" t="s">
        <v>36</v>
      </c>
      <c r="F63" s="45">
        <v>16.0</v>
      </c>
      <c r="G63" s="68" t="s">
        <v>24</v>
      </c>
      <c r="H63" s="45">
        <v>6.0</v>
      </c>
      <c r="I63" s="45" t="s">
        <v>37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4"/>
      <c r="X63" s="64"/>
      <c r="Y63" s="64"/>
      <c r="Z63" s="64"/>
      <c r="AA63" s="64"/>
      <c r="AB63" s="64"/>
      <c r="AC63" s="64"/>
      <c r="AD63" s="37"/>
      <c r="AE63" s="37"/>
      <c r="AF63" s="37"/>
      <c r="AG63" s="37"/>
      <c r="AH63" s="37"/>
      <c r="AI63" s="37"/>
      <c r="AJ63" s="37"/>
      <c r="AK63" s="37"/>
      <c r="AL63" s="37"/>
      <c r="AM63" s="64"/>
    </row>
    <row r="64" ht="15.75" customHeight="1">
      <c r="A64" s="25"/>
      <c r="B64" s="11">
        <v>46148.0</v>
      </c>
      <c r="C64" s="67" t="s">
        <v>89</v>
      </c>
      <c r="D64" s="12" t="s">
        <v>22</v>
      </c>
      <c r="E64" s="45" t="s">
        <v>65</v>
      </c>
      <c r="F64" s="45">
        <v>17.0</v>
      </c>
      <c r="G64" s="68" t="s">
        <v>24</v>
      </c>
      <c r="H64" s="45">
        <v>9.0</v>
      </c>
      <c r="I64" s="45" t="s">
        <v>61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4"/>
      <c r="X64" s="64"/>
      <c r="Y64" s="64"/>
      <c r="Z64" s="64"/>
      <c r="AA64" s="64"/>
      <c r="AB64" s="64"/>
      <c r="AC64" s="64"/>
      <c r="AD64" s="37"/>
      <c r="AE64" s="37"/>
      <c r="AF64" s="37"/>
      <c r="AG64" s="37"/>
      <c r="AH64" s="37"/>
      <c r="AI64" s="37"/>
      <c r="AJ64" s="37"/>
      <c r="AK64" s="37"/>
      <c r="AL64" s="37"/>
      <c r="AM64" s="64"/>
    </row>
    <row r="65" ht="15.75" customHeight="1">
      <c r="A65" s="25"/>
      <c r="B65" s="11">
        <v>46148.0</v>
      </c>
      <c r="C65" s="67" t="s">
        <v>90</v>
      </c>
      <c r="D65" s="12" t="s">
        <v>22</v>
      </c>
      <c r="E65" s="45" t="s">
        <v>33</v>
      </c>
      <c r="F65" s="45">
        <v>17.0</v>
      </c>
      <c r="G65" s="68" t="s">
        <v>24</v>
      </c>
      <c r="H65" s="45">
        <v>8.0</v>
      </c>
      <c r="I65" s="45" t="s">
        <v>88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4"/>
      <c r="X65" s="64"/>
      <c r="Y65" s="64"/>
      <c r="Z65" s="64"/>
      <c r="AA65" s="64"/>
      <c r="AB65" s="64"/>
      <c r="AC65" s="64"/>
      <c r="AD65" s="37"/>
      <c r="AE65" s="37"/>
      <c r="AF65" s="37"/>
      <c r="AG65" s="37"/>
      <c r="AH65" s="37"/>
      <c r="AI65" s="37"/>
      <c r="AJ65" s="37"/>
      <c r="AK65" s="37"/>
      <c r="AL65" s="37"/>
      <c r="AM65" s="64"/>
    </row>
    <row r="66" ht="15.75" customHeight="1">
      <c r="A66" s="25"/>
      <c r="B66" s="11">
        <v>46148.0</v>
      </c>
      <c r="C66" s="67" t="s">
        <v>53</v>
      </c>
      <c r="D66" s="12" t="s">
        <v>22</v>
      </c>
      <c r="E66" s="45" t="s">
        <v>43</v>
      </c>
      <c r="F66" s="45">
        <v>13.0</v>
      </c>
      <c r="G66" s="68" t="s">
        <v>24</v>
      </c>
      <c r="H66" s="45">
        <v>10.0</v>
      </c>
      <c r="I66" s="45" t="s">
        <v>64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4"/>
      <c r="X66" s="64"/>
      <c r="Y66" s="64"/>
      <c r="Z66" s="64"/>
      <c r="AA66" s="64"/>
      <c r="AB66" s="64"/>
      <c r="AC66" s="64"/>
      <c r="AD66" s="37"/>
      <c r="AE66" s="37"/>
      <c r="AF66" s="37"/>
      <c r="AG66" s="37"/>
      <c r="AH66" s="37"/>
      <c r="AI66" s="37"/>
      <c r="AJ66" s="37"/>
      <c r="AK66" s="37"/>
      <c r="AL66" s="37"/>
      <c r="AM66" s="64"/>
    </row>
    <row r="67" ht="15.75" customHeight="1">
      <c r="A67" s="25"/>
      <c r="B67" s="11">
        <v>46148.0</v>
      </c>
      <c r="C67" s="67" t="s">
        <v>92</v>
      </c>
      <c r="D67" s="12" t="s">
        <v>22</v>
      </c>
      <c r="E67" s="45" t="s">
        <v>85</v>
      </c>
      <c r="F67" s="45">
        <v>9.0</v>
      </c>
      <c r="G67" s="68" t="s">
        <v>24</v>
      </c>
      <c r="H67" s="45">
        <v>21.0</v>
      </c>
      <c r="I67" s="45" t="s">
        <v>32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37"/>
      <c r="AE67" s="37"/>
      <c r="AF67" s="37"/>
      <c r="AG67" s="37"/>
      <c r="AH67" s="37"/>
      <c r="AI67" s="37"/>
      <c r="AJ67" s="37"/>
      <c r="AK67" s="37"/>
      <c r="AL67" s="37"/>
      <c r="AM67" s="64"/>
    </row>
    <row r="68" ht="15.75" customHeight="1">
      <c r="A68" s="29"/>
      <c r="B68" s="11">
        <v>46148.0</v>
      </c>
      <c r="C68" s="67" t="s">
        <v>93</v>
      </c>
      <c r="D68" s="12" t="s">
        <v>22</v>
      </c>
      <c r="E68" s="45" t="s">
        <v>39</v>
      </c>
      <c r="F68" s="45">
        <v>10.0</v>
      </c>
      <c r="G68" s="68" t="s">
        <v>24</v>
      </c>
      <c r="H68" s="45">
        <v>7.0</v>
      </c>
      <c r="I68" s="45" t="s">
        <v>25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37"/>
      <c r="AE68" s="37"/>
      <c r="AF68" s="37"/>
      <c r="AG68" s="37"/>
      <c r="AH68" s="37"/>
      <c r="AI68" s="37"/>
      <c r="AJ68" s="37"/>
      <c r="AK68" s="37"/>
      <c r="AL68" s="37"/>
      <c r="AM68" s="64"/>
    </row>
    <row r="69" ht="15.75" customHeight="1">
      <c r="A69" s="88"/>
      <c r="B69" s="89"/>
      <c r="C69" s="89"/>
      <c r="D69" s="89"/>
      <c r="E69" s="89"/>
      <c r="F69" s="89"/>
      <c r="G69" s="89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37"/>
      <c r="AE69" s="37"/>
      <c r="AF69" s="37"/>
      <c r="AG69" s="37"/>
      <c r="AH69" s="37"/>
      <c r="AI69" s="37"/>
      <c r="AJ69" s="37"/>
      <c r="AK69" s="37"/>
      <c r="AL69" s="37"/>
      <c r="AM69" s="64"/>
    </row>
    <row r="70" ht="15.75" customHeight="1">
      <c r="A70" s="88"/>
      <c r="B70" s="89"/>
      <c r="C70" s="89"/>
      <c r="D70" s="89"/>
      <c r="E70" s="89"/>
      <c r="F70" s="89"/>
      <c r="G70" s="89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37"/>
      <c r="AE70" s="37"/>
      <c r="AF70" s="37"/>
      <c r="AG70" s="37"/>
      <c r="AH70" s="37"/>
      <c r="AI70" s="37"/>
      <c r="AJ70" s="37"/>
      <c r="AK70" s="37"/>
      <c r="AL70" s="37"/>
      <c r="AM70" s="64"/>
    </row>
    <row r="71" ht="15.75" customHeight="1">
      <c r="A71" s="88"/>
      <c r="B71" s="89"/>
      <c r="C71" s="89"/>
      <c r="D71" s="89"/>
      <c r="E71" s="89"/>
      <c r="F71" s="89"/>
      <c r="G71" s="89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37"/>
      <c r="AE71" s="37"/>
      <c r="AF71" s="37"/>
      <c r="AG71" s="37"/>
      <c r="AH71" s="37"/>
      <c r="AI71" s="37"/>
      <c r="AJ71" s="37"/>
      <c r="AK71" s="37"/>
      <c r="AL71" s="37"/>
      <c r="AM71" s="64"/>
    </row>
    <row r="72" ht="15.75" customHeight="1">
      <c r="A72" s="63" t="s">
        <v>100</v>
      </c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37"/>
      <c r="AE72" s="37"/>
      <c r="AF72" s="37"/>
      <c r="AG72" s="37"/>
      <c r="AH72" s="37"/>
      <c r="AI72" s="37"/>
      <c r="AJ72" s="37"/>
      <c r="AK72" s="37"/>
      <c r="AL72" s="37"/>
      <c r="AM72" s="64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81</v>
      </c>
      <c r="U73" s="9" t="s">
        <v>82</v>
      </c>
      <c r="V73" s="9" t="s">
        <v>83</v>
      </c>
      <c r="W73" s="37"/>
      <c r="X73" s="37"/>
      <c r="Y73" s="37"/>
      <c r="Z73" s="37"/>
      <c r="AA73" s="37"/>
      <c r="AB73" s="37"/>
      <c r="AC73" s="37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81</v>
      </c>
      <c r="AK73" s="5" t="s">
        <v>82</v>
      </c>
      <c r="AL73" s="5" t="s">
        <v>83</v>
      </c>
      <c r="AM73" s="64"/>
    </row>
    <row r="74" ht="15.75" customHeight="1">
      <c r="A74" s="10">
        <v>1.0</v>
      </c>
      <c r="B74" s="90">
        <v>46155.0</v>
      </c>
      <c r="C74" s="39" t="s">
        <v>101</v>
      </c>
      <c r="D74" s="12" t="s">
        <v>22</v>
      </c>
      <c r="E74" s="17" t="s">
        <v>31</v>
      </c>
      <c r="F74" s="17">
        <v>6.0</v>
      </c>
      <c r="G74" s="68" t="s">
        <v>24</v>
      </c>
      <c r="H74" s="17">
        <v>5.0</v>
      </c>
      <c r="I74" s="91" t="s">
        <v>102</v>
      </c>
      <c r="J74" s="4"/>
      <c r="K74" s="4">
        <f t="shared" ref="K74:K118" si="11">IF(F74="","",IFS(F74&gt;H74,2,F74=H74,1,H74&gt;F74,0,F74="",0))</f>
        <v>2</v>
      </c>
      <c r="L74" s="18">
        <f t="shared" ref="L74:L118" si="12">IF(H74="","",IFS(F74&lt;H74,2,F74=H74,1,H74&lt;F74,0))</f>
        <v>0</v>
      </c>
      <c r="M74" s="4"/>
      <c r="N74" s="18">
        <v>1.0</v>
      </c>
      <c r="O74" s="78" t="s">
        <v>102</v>
      </c>
      <c r="P74" s="18">
        <f t="shared" ref="P74:P82" si="13">SUMIF(E$74:E$118,O74,K$74:K$118)+SUMIF(I$74:I$118,O74,L$74:L$118)</f>
        <v>12</v>
      </c>
      <c r="Q74" s="18">
        <f t="shared" ref="Q74:Q82" si="14">COUNTIFS(E$74:E$118,O74,K$74:K$118,2)+COUNTIFS(I$74:I$118,O74,L$74:L$118,2)</f>
        <v>6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2</v>
      </c>
      <c r="T74" s="18">
        <f t="shared" ref="T74:T82" si="17">SUMIF(E$74:E$118,O74,F$74:F$118)+SUMIF(I$74:I$118,O74,H$74:H$118)</f>
        <v>86</v>
      </c>
      <c r="U74" s="20">
        <f t="shared" ref="U74:U82" si="18">SUMIF(E$74:E$118,O74,H$74:H$118)+SUMIF(I$74:I$118,O74,F$74:F$118)</f>
        <v>44</v>
      </c>
      <c r="V74" s="18">
        <f t="shared" ref="V74:V82" si="19">T74-U74</f>
        <v>42</v>
      </c>
      <c r="W74" s="64"/>
      <c r="X74" s="64"/>
      <c r="Y74" s="64"/>
      <c r="Z74" s="64"/>
      <c r="AA74" s="64"/>
      <c r="AB74" s="64"/>
      <c r="AC74" s="64"/>
      <c r="AD74" s="46" t="s">
        <v>29</v>
      </c>
      <c r="AE74" s="71" t="str">
        <f t="array" ref="AE74:AM82">SORT(O74:X82,2,FALSE,9,FALSE,8,FALSE())</f>
        <v>Eng. Civil</v>
      </c>
      <c r="AF74" s="23">
        <v>16.0</v>
      </c>
      <c r="AG74" s="23">
        <v>8.0</v>
      </c>
      <c r="AH74" s="24">
        <v>0.0</v>
      </c>
      <c r="AI74" s="24">
        <v>0.0</v>
      </c>
      <c r="AJ74" s="23">
        <v>113.0</v>
      </c>
      <c r="AK74" s="24">
        <v>53.0</v>
      </c>
      <c r="AL74" s="23">
        <v>60.0</v>
      </c>
      <c r="AM74" s="64"/>
    </row>
    <row r="75" ht="15.75" customHeight="1">
      <c r="A75" s="25"/>
      <c r="B75" s="44">
        <v>45952.0</v>
      </c>
      <c r="C75" s="39" t="s">
        <v>103</v>
      </c>
      <c r="D75" s="72" t="s">
        <v>78</v>
      </c>
      <c r="E75" s="17" t="s">
        <v>104</v>
      </c>
      <c r="F75" s="17">
        <v>0.0</v>
      </c>
      <c r="G75" s="68" t="s">
        <v>24</v>
      </c>
      <c r="H75" s="17">
        <v>9.0</v>
      </c>
      <c r="I75" s="91" t="s">
        <v>105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8" t="s">
        <v>31</v>
      </c>
      <c r="P75" s="18">
        <f t="shared" si="13"/>
        <v>16</v>
      </c>
      <c r="Q75" s="18">
        <f t="shared" si="14"/>
        <v>8</v>
      </c>
      <c r="R75" s="20">
        <f t="shared" si="15"/>
        <v>0</v>
      </c>
      <c r="S75" s="20">
        <f t="shared" si="16"/>
        <v>0</v>
      </c>
      <c r="T75" s="18">
        <f t="shared" si="17"/>
        <v>113</v>
      </c>
      <c r="U75" s="20">
        <f t="shared" si="18"/>
        <v>53</v>
      </c>
      <c r="V75" s="18">
        <f t="shared" si="19"/>
        <v>60</v>
      </c>
      <c r="W75" s="64"/>
      <c r="X75" s="64"/>
      <c r="Y75" s="64"/>
      <c r="Z75" s="64"/>
      <c r="AA75" s="64"/>
      <c r="AB75" s="64"/>
      <c r="AC75" s="64"/>
      <c r="AD75" s="74" t="s">
        <v>106</v>
      </c>
      <c r="AE75" s="71" t="s">
        <v>102</v>
      </c>
      <c r="AF75" s="23">
        <v>12.0</v>
      </c>
      <c r="AG75" s="23">
        <v>6.0</v>
      </c>
      <c r="AH75" s="24">
        <v>0.0</v>
      </c>
      <c r="AI75" s="24">
        <v>2.0</v>
      </c>
      <c r="AJ75" s="23">
        <v>86.0</v>
      </c>
      <c r="AK75" s="24">
        <v>44.0</v>
      </c>
      <c r="AL75" s="23">
        <v>42.0</v>
      </c>
      <c r="AM75" s="64"/>
    </row>
    <row r="76" ht="15.75" customHeight="1">
      <c r="A76" s="25"/>
      <c r="B76" s="44">
        <v>46148.0</v>
      </c>
      <c r="C76" s="39" t="s">
        <v>93</v>
      </c>
      <c r="D76" s="12" t="s">
        <v>78</v>
      </c>
      <c r="E76" s="17" t="s">
        <v>63</v>
      </c>
      <c r="F76" s="17">
        <v>5.0</v>
      </c>
      <c r="G76" s="68" t="s">
        <v>24</v>
      </c>
      <c r="H76" s="17">
        <v>15.0</v>
      </c>
      <c r="I76" s="91" t="s">
        <v>107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8" t="s">
        <v>104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7</v>
      </c>
      <c r="T76" s="18">
        <f t="shared" si="17"/>
        <v>21</v>
      </c>
      <c r="U76" s="20">
        <f t="shared" si="18"/>
        <v>112</v>
      </c>
      <c r="V76" s="18">
        <f t="shared" si="19"/>
        <v>-91</v>
      </c>
      <c r="W76" s="64"/>
      <c r="X76" s="64"/>
      <c r="Y76" s="64"/>
      <c r="Z76" s="64"/>
      <c r="AA76" s="64"/>
      <c r="AB76" s="64"/>
      <c r="AC76" s="64"/>
      <c r="AD76" s="22">
        <v>3.0</v>
      </c>
      <c r="AE76" s="71" t="s">
        <v>108</v>
      </c>
      <c r="AF76" s="23">
        <v>10.0</v>
      </c>
      <c r="AG76" s="23">
        <v>5.0</v>
      </c>
      <c r="AH76" s="24">
        <v>0.0</v>
      </c>
      <c r="AI76" s="24">
        <v>3.0</v>
      </c>
      <c r="AJ76" s="23">
        <v>101.0</v>
      </c>
      <c r="AK76" s="24">
        <v>71.0</v>
      </c>
      <c r="AL76" s="23">
        <v>30.0</v>
      </c>
      <c r="AM76" s="64"/>
    </row>
    <row r="77" ht="15.75" customHeight="1">
      <c r="A77" s="25"/>
      <c r="B77" s="44">
        <v>45952.0</v>
      </c>
      <c r="C77" s="12" t="s">
        <v>94</v>
      </c>
      <c r="D77" s="72" t="s">
        <v>78</v>
      </c>
      <c r="E77" s="17" t="s">
        <v>109</v>
      </c>
      <c r="F77" s="17">
        <v>7.0</v>
      </c>
      <c r="G77" s="68" t="s">
        <v>24</v>
      </c>
      <c r="H77" s="17">
        <v>10.0</v>
      </c>
      <c r="I77" s="91" t="s">
        <v>108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8" t="s">
        <v>63</v>
      </c>
      <c r="P77" s="18">
        <f t="shared" si="13"/>
        <v>6</v>
      </c>
      <c r="Q77" s="18">
        <f t="shared" si="14"/>
        <v>3</v>
      </c>
      <c r="R77" s="20">
        <f t="shared" si="15"/>
        <v>0</v>
      </c>
      <c r="S77" s="20">
        <f t="shared" si="16"/>
        <v>5</v>
      </c>
      <c r="T77" s="18">
        <f t="shared" si="17"/>
        <v>64</v>
      </c>
      <c r="U77" s="20">
        <f t="shared" si="18"/>
        <v>101</v>
      </c>
      <c r="V77" s="18">
        <f t="shared" si="19"/>
        <v>-37</v>
      </c>
      <c r="W77" s="64"/>
      <c r="X77" s="64"/>
      <c r="Y77" s="64"/>
      <c r="Z77" s="64"/>
      <c r="AA77" s="64"/>
      <c r="AB77" s="64"/>
      <c r="AC77" s="64"/>
      <c r="AD77" s="22">
        <v>4.0</v>
      </c>
      <c r="AE77" s="71" t="s">
        <v>107</v>
      </c>
      <c r="AF77" s="23">
        <v>8.0</v>
      </c>
      <c r="AG77" s="23">
        <v>4.0</v>
      </c>
      <c r="AH77" s="24">
        <v>0.0</v>
      </c>
      <c r="AI77" s="24">
        <v>4.0</v>
      </c>
      <c r="AJ77" s="23">
        <v>99.0</v>
      </c>
      <c r="AK77" s="24">
        <v>73.0</v>
      </c>
      <c r="AL77" s="23">
        <v>26.0</v>
      </c>
      <c r="AM77" s="64"/>
    </row>
    <row r="78" ht="15.75" customHeight="1">
      <c r="A78" s="29"/>
      <c r="B78" s="92"/>
      <c r="C78" s="68"/>
      <c r="D78" s="68"/>
      <c r="E78" s="17" t="s">
        <v>59</v>
      </c>
      <c r="F78" s="93"/>
      <c r="G78" s="68" t="s">
        <v>24</v>
      </c>
      <c r="H78" s="93"/>
      <c r="I78" s="91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8" t="s">
        <v>109</v>
      </c>
      <c r="P78" s="18">
        <f t="shared" si="13"/>
        <v>8</v>
      </c>
      <c r="Q78" s="18">
        <f t="shared" si="14"/>
        <v>4</v>
      </c>
      <c r="R78" s="20">
        <f t="shared" si="15"/>
        <v>0</v>
      </c>
      <c r="S78" s="20">
        <f t="shared" si="16"/>
        <v>4</v>
      </c>
      <c r="T78" s="18">
        <f t="shared" si="17"/>
        <v>98</v>
      </c>
      <c r="U78" s="20">
        <f t="shared" si="18"/>
        <v>91</v>
      </c>
      <c r="V78" s="18">
        <f t="shared" si="19"/>
        <v>7</v>
      </c>
      <c r="W78" s="64"/>
      <c r="X78" s="64"/>
      <c r="Y78" s="64"/>
      <c r="Z78" s="64"/>
      <c r="AA78" s="64"/>
      <c r="AB78" s="64"/>
      <c r="AC78" s="64"/>
      <c r="AD78" s="22">
        <v>5.0</v>
      </c>
      <c r="AE78" s="71" t="s">
        <v>109</v>
      </c>
      <c r="AF78" s="23">
        <v>8.0</v>
      </c>
      <c r="AG78" s="23">
        <v>4.0</v>
      </c>
      <c r="AH78" s="24">
        <v>0.0</v>
      </c>
      <c r="AI78" s="24">
        <v>4.0</v>
      </c>
      <c r="AJ78" s="23">
        <v>98.0</v>
      </c>
      <c r="AK78" s="24">
        <v>91.0</v>
      </c>
      <c r="AL78" s="23">
        <v>7.0</v>
      </c>
      <c r="AM78" s="64"/>
    </row>
    <row r="79" ht="15.75" customHeight="1">
      <c r="A79" s="10">
        <v>2.0</v>
      </c>
      <c r="B79" s="44">
        <v>45952.0</v>
      </c>
      <c r="C79" s="39" t="s">
        <v>51</v>
      </c>
      <c r="D79" s="72" t="s">
        <v>78</v>
      </c>
      <c r="E79" s="17" t="s">
        <v>102</v>
      </c>
      <c r="F79" s="17">
        <v>7.0</v>
      </c>
      <c r="G79" s="68" t="s">
        <v>24</v>
      </c>
      <c r="H79" s="17">
        <v>2.0</v>
      </c>
      <c r="I79" s="91" t="s">
        <v>104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8" t="s">
        <v>59</v>
      </c>
      <c r="P79" s="18">
        <f t="shared" si="13"/>
        <v>4</v>
      </c>
      <c r="Q79" s="18">
        <f t="shared" si="14"/>
        <v>2</v>
      </c>
      <c r="R79" s="20">
        <f t="shared" si="15"/>
        <v>0</v>
      </c>
      <c r="S79" s="20">
        <f t="shared" si="16"/>
        <v>6</v>
      </c>
      <c r="T79" s="18">
        <f t="shared" si="17"/>
        <v>62</v>
      </c>
      <c r="U79" s="20">
        <f t="shared" si="18"/>
        <v>93</v>
      </c>
      <c r="V79" s="18">
        <f t="shared" si="19"/>
        <v>-31</v>
      </c>
      <c r="W79" s="64"/>
      <c r="X79" s="64"/>
      <c r="Y79" s="64"/>
      <c r="Z79" s="64"/>
      <c r="AA79" s="64"/>
      <c r="AB79" s="64"/>
      <c r="AC79" s="64"/>
      <c r="AD79" s="22">
        <v>6.0</v>
      </c>
      <c r="AE79" s="71" t="s">
        <v>105</v>
      </c>
      <c r="AF79" s="23">
        <v>6.0</v>
      </c>
      <c r="AG79" s="23">
        <v>3.0</v>
      </c>
      <c r="AH79" s="24">
        <v>0.0</v>
      </c>
      <c r="AI79" s="24">
        <v>5.0</v>
      </c>
      <c r="AJ79" s="23">
        <v>77.0</v>
      </c>
      <c r="AK79" s="24">
        <v>83.0</v>
      </c>
      <c r="AL79" s="23">
        <v>-6.0</v>
      </c>
      <c r="AM79" s="64"/>
    </row>
    <row r="80" ht="15.75" customHeight="1">
      <c r="A80" s="25"/>
      <c r="B80" s="94"/>
      <c r="C80" s="95"/>
      <c r="D80" s="95"/>
      <c r="E80" s="17">
        <v>0.0</v>
      </c>
      <c r="F80" s="93"/>
      <c r="G80" s="68" t="s">
        <v>24</v>
      </c>
      <c r="H80" s="93"/>
      <c r="I80" s="91" t="s">
        <v>31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8" t="s">
        <v>108</v>
      </c>
      <c r="P80" s="18">
        <f t="shared" si="13"/>
        <v>10</v>
      </c>
      <c r="Q80" s="18">
        <f t="shared" si="14"/>
        <v>5</v>
      </c>
      <c r="R80" s="20">
        <f t="shared" si="15"/>
        <v>0</v>
      </c>
      <c r="S80" s="20">
        <f t="shared" si="16"/>
        <v>3</v>
      </c>
      <c r="T80" s="18">
        <f t="shared" si="17"/>
        <v>101</v>
      </c>
      <c r="U80" s="20">
        <f t="shared" si="18"/>
        <v>71</v>
      </c>
      <c r="V80" s="18">
        <f t="shared" si="19"/>
        <v>30</v>
      </c>
      <c r="W80" s="64"/>
      <c r="X80" s="64"/>
      <c r="Y80" s="64"/>
      <c r="Z80" s="64"/>
      <c r="AA80" s="64"/>
      <c r="AB80" s="64"/>
      <c r="AC80" s="64"/>
      <c r="AD80" s="22">
        <v>7.0</v>
      </c>
      <c r="AE80" s="71" t="s">
        <v>63</v>
      </c>
      <c r="AF80" s="23">
        <v>6.0</v>
      </c>
      <c r="AG80" s="23">
        <v>3.0</v>
      </c>
      <c r="AH80" s="24">
        <v>0.0</v>
      </c>
      <c r="AI80" s="24">
        <v>5.0</v>
      </c>
      <c r="AJ80" s="23">
        <v>64.0</v>
      </c>
      <c r="AK80" s="24">
        <v>101.0</v>
      </c>
      <c r="AL80" s="23">
        <v>-37.0</v>
      </c>
      <c r="AM80" s="64"/>
    </row>
    <row r="81" ht="15.75" customHeight="1">
      <c r="A81" s="25"/>
      <c r="B81" s="44">
        <v>45952.0</v>
      </c>
      <c r="C81" s="39" t="s">
        <v>97</v>
      </c>
      <c r="D81" s="72" t="s">
        <v>78</v>
      </c>
      <c r="E81" s="91" t="s">
        <v>105</v>
      </c>
      <c r="F81" s="17">
        <v>16.0</v>
      </c>
      <c r="G81" s="68" t="s">
        <v>24</v>
      </c>
      <c r="H81" s="17">
        <v>5.0</v>
      </c>
      <c r="I81" s="91" t="s">
        <v>63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8" t="s">
        <v>107</v>
      </c>
      <c r="P81" s="18">
        <f t="shared" si="13"/>
        <v>8</v>
      </c>
      <c r="Q81" s="18">
        <f t="shared" si="14"/>
        <v>4</v>
      </c>
      <c r="R81" s="20">
        <f t="shared" si="15"/>
        <v>0</v>
      </c>
      <c r="S81" s="20">
        <f t="shared" si="16"/>
        <v>4</v>
      </c>
      <c r="T81" s="18">
        <f t="shared" si="17"/>
        <v>99</v>
      </c>
      <c r="U81" s="20">
        <f t="shared" si="18"/>
        <v>73</v>
      </c>
      <c r="V81" s="18">
        <f t="shared" si="19"/>
        <v>26</v>
      </c>
      <c r="W81" s="64"/>
      <c r="X81" s="64"/>
      <c r="Y81" s="64"/>
      <c r="Z81" s="64"/>
      <c r="AA81" s="64"/>
      <c r="AB81" s="64"/>
      <c r="AC81" s="64"/>
      <c r="AD81" s="22">
        <v>8.0</v>
      </c>
      <c r="AE81" s="71" t="s">
        <v>59</v>
      </c>
      <c r="AF81" s="23">
        <v>4.0</v>
      </c>
      <c r="AG81" s="23">
        <v>2.0</v>
      </c>
      <c r="AH81" s="24">
        <v>0.0</v>
      </c>
      <c r="AI81" s="24">
        <v>6.0</v>
      </c>
      <c r="AJ81" s="23">
        <v>62.0</v>
      </c>
      <c r="AK81" s="24">
        <v>93.0</v>
      </c>
      <c r="AL81" s="23">
        <v>-31.0</v>
      </c>
      <c r="AM81" s="64"/>
    </row>
    <row r="82" ht="15.75" customHeight="1">
      <c r="A82" s="25"/>
      <c r="B82" s="11">
        <v>45952.0</v>
      </c>
      <c r="C82" s="39" t="s">
        <v>87</v>
      </c>
      <c r="D82" s="72" t="s">
        <v>78</v>
      </c>
      <c r="E82" s="17" t="s">
        <v>107</v>
      </c>
      <c r="F82" s="17">
        <v>16.0</v>
      </c>
      <c r="G82" s="68" t="s">
        <v>24</v>
      </c>
      <c r="H82" s="17">
        <v>14.0</v>
      </c>
      <c r="I82" s="91" t="s">
        <v>109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8" t="s">
        <v>105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77</v>
      </c>
      <c r="U82" s="20">
        <f t="shared" si="18"/>
        <v>83</v>
      </c>
      <c r="V82" s="18">
        <f t="shared" si="19"/>
        <v>-6</v>
      </c>
      <c r="W82" s="64"/>
      <c r="X82" s="64"/>
      <c r="Y82" s="64"/>
      <c r="Z82" s="64"/>
      <c r="AA82" s="64"/>
      <c r="AB82" s="64"/>
      <c r="AC82" s="64"/>
      <c r="AD82" s="22">
        <v>9.0</v>
      </c>
      <c r="AE82" s="28" t="s">
        <v>104</v>
      </c>
      <c r="AF82" s="23">
        <v>2.0</v>
      </c>
      <c r="AG82" s="23">
        <v>1.0</v>
      </c>
      <c r="AH82" s="23">
        <v>0.0</v>
      </c>
      <c r="AI82" s="23">
        <v>7.0</v>
      </c>
      <c r="AJ82" s="23">
        <v>21.0</v>
      </c>
      <c r="AK82" s="23">
        <v>112.0</v>
      </c>
      <c r="AL82" s="23">
        <v>-91.0</v>
      </c>
      <c r="AM82" s="64"/>
    </row>
    <row r="83" ht="15.75" customHeight="1">
      <c r="A83" s="29"/>
      <c r="B83" s="11">
        <v>45952.0</v>
      </c>
      <c r="C83" s="12" t="s">
        <v>55</v>
      </c>
      <c r="D83" s="72" t="s">
        <v>78</v>
      </c>
      <c r="E83" s="17" t="s">
        <v>108</v>
      </c>
      <c r="F83" s="17">
        <v>6.0</v>
      </c>
      <c r="G83" s="68" t="s">
        <v>24</v>
      </c>
      <c r="H83" s="17">
        <v>8.0</v>
      </c>
      <c r="I83" s="91" t="s">
        <v>59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4"/>
      <c r="X83" s="64"/>
      <c r="Y83" s="64"/>
      <c r="Z83" s="64"/>
      <c r="AA83" s="64"/>
      <c r="AB83" s="64"/>
      <c r="AC83" s="64"/>
      <c r="AD83" s="35" t="s">
        <v>110</v>
      </c>
      <c r="AG83" s="96"/>
      <c r="AH83" s="96"/>
      <c r="AI83" s="96"/>
      <c r="AJ83" s="96"/>
      <c r="AK83" s="96"/>
      <c r="AL83" s="96"/>
      <c r="AM83" s="64"/>
    </row>
    <row r="84" ht="15.75" customHeight="1">
      <c r="A84" s="10">
        <v>3.0</v>
      </c>
      <c r="B84" s="11">
        <v>46008.0</v>
      </c>
      <c r="C84" s="39" t="s">
        <v>52</v>
      </c>
      <c r="D84" s="72" t="s">
        <v>78</v>
      </c>
      <c r="E84" s="17" t="s">
        <v>63</v>
      </c>
      <c r="F84" s="17">
        <v>4.0</v>
      </c>
      <c r="G84" s="68" t="s">
        <v>24</v>
      </c>
      <c r="H84" s="17">
        <v>15.0</v>
      </c>
      <c r="I84" s="91" t="s">
        <v>102</v>
      </c>
      <c r="J84" s="4"/>
      <c r="K84" s="4">
        <f t="shared" si="11"/>
        <v>0</v>
      </c>
      <c r="L84" s="18">
        <f t="shared" si="12"/>
        <v>2</v>
      </c>
      <c r="M84" s="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80" t="s">
        <v>96</v>
      </c>
      <c r="AG84" s="64"/>
      <c r="AH84" s="64"/>
      <c r="AI84" s="37"/>
      <c r="AJ84" s="37"/>
      <c r="AK84" s="37"/>
      <c r="AL84" s="37"/>
      <c r="AM84" s="64"/>
    </row>
    <row r="85" ht="15.75" customHeight="1">
      <c r="A85" s="25"/>
      <c r="B85" s="11">
        <v>46008.0</v>
      </c>
      <c r="C85" s="39" t="s">
        <v>89</v>
      </c>
      <c r="D85" s="72" t="s">
        <v>78</v>
      </c>
      <c r="E85" s="17" t="s">
        <v>104</v>
      </c>
      <c r="F85" s="17">
        <v>2.0</v>
      </c>
      <c r="G85" s="68" t="s">
        <v>24</v>
      </c>
      <c r="H85" s="17">
        <v>21.0</v>
      </c>
      <c r="I85" s="91" t="s">
        <v>31</v>
      </c>
      <c r="J85" s="4"/>
      <c r="K85" s="4">
        <f t="shared" si="11"/>
        <v>0</v>
      </c>
      <c r="L85" s="18">
        <f t="shared" si="12"/>
        <v>2</v>
      </c>
      <c r="M85" s="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37"/>
      <c r="AJ85" s="37"/>
      <c r="AK85" s="37"/>
      <c r="AL85" s="37"/>
      <c r="AM85" s="64"/>
    </row>
    <row r="86" ht="15.75" customHeight="1">
      <c r="A86" s="25"/>
      <c r="B86" s="11">
        <v>46008.0</v>
      </c>
      <c r="C86" s="39" t="s">
        <v>53</v>
      </c>
      <c r="D86" s="72" t="s">
        <v>78</v>
      </c>
      <c r="E86" s="17" t="s">
        <v>109</v>
      </c>
      <c r="F86" s="17">
        <v>9.0</v>
      </c>
      <c r="G86" s="68" t="s">
        <v>24</v>
      </c>
      <c r="H86" s="17">
        <v>7.0</v>
      </c>
      <c r="I86" s="91" t="s">
        <v>105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4"/>
      <c r="X86" s="64"/>
      <c r="Y86" s="64"/>
      <c r="Z86" s="64"/>
      <c r="AA86" s="64"/>
      <c r="AB86" s="64"/>
      <c r="AC86" s="64"/>
      <c r="AD86" s="4"/>
      <c r="AG86" s="37"/>
      <c r="AI86" s="37"/>
      <c r="AJ86" s="37"/>
      <c r="AK86" s="37"/>
      <c r="AL86" s="37"/>
      <c r="AM86" s="64"/>
    </row>
    <row r="87" ht="15.75" customHeight="1">
      <c r="A87" s="25"/>
      <c r="B87" s="11">
        <v>46008.0</v>
      </c>
      <c r="C87" s="39" t="s">
        <v>90</v>
      </c>
      <c r="D87" s="72" t="s">
        <v>78</v>
      </c>
      <c r="E87" s="17" t="s">
        <v>59</v>
      </c>
      <c r="F87" s="17">
        <v>7.0</v>
      </c>
      <c r="G87" s="68" t="s">
        <v>24</v>
      </c>
      <c r="H87" s="17">
        <v>8.0</v>
      </c>
      <c r="I87" s="91" t="s">
        <v>107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I87" s="37"/>
      <c r="AJ87" s="37"/>
      <c r="AK87" s="37"/>
      <c r="AL87" s="37"/>
      <c r="AM87" s="64"/>
    </row>
    <row r="88" ht="15.75" customHeight="1">
      <c r="A88" s="29"/>
      <c r="B88" s="97"/>
      <c r="C88" s="68"/>
      <c r="D88" s="68"/>
      <c r="E88" s="17">
        <v>0.0</v>
      </c>
      <c r="F88" s="93"/>
      <c r="G88" s="68" t="s">
        <v>24</v>
      </c>
      <c r="H88" s="93"/>
      <c r="I88" s="91" t="s">
        <v>108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I88" s="37"/>
      <c r="AJ88" s="37"/>
      <c r="AK88" s="37"/>
      <c r="AL88" s="37"/>
      <c r="AM88" s="64"/>
    </row>
    <row r="89" ht="15.75" customHeight="1">
      <c r="A89" s="10">
        <v>4.0</v>
      </c>
      <c r="B89" s="11">
        <v>46071.0</v>
      </c>
      <c r="C89" s="67" t="s">
        <v>84</v>
      </c>
      <c r="D89" s="12" t="s">
        <v>78</v>
      </c>
      <c r="E89" s="17" t="s">
        <v>102</v>
      </c>
      <c r="F89" s="17">
        <v>21.0</v>
      </c>
      <c r="G89" s="68" t="s">
        <v>24</v>
      </c>
      <c r="H89" s="17">
        <v>0.0</v>
      </c>
      <c r="I89" s="91" t="s">
        <v>109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I89" s="37"/>
      <c r="AJ89" s="37"/>
      <c r="AK89" s="37"/>
      <c r="AL89" s="37"/>
      <c r="AM89" s="64"/>
    </row>
    <row r="90" ht="15.75" customHeight="1">
      <c r="A90" s="25"/>
      <c r="B90" s="11">
        <v>46071.0</v>
      </c>
      <c r="C90" s="39" t="s">
        <v>86</v>
      </c>
      <c r="D90" s="12" t="s">
        <v>78</v>
      </c>
      <c r="E90" s="17" t="s">
        <v>31</v>
      </c>
      <c r="F90" s="17">
        <v>10.0</v>
      </c>
      <c r="G90" s="68" t="s">
        <v>24</v>
      </c>
      <c r="H90" s="17">
        <v>0.0</v>
      </c>
      <c r="I90" s="91" t="s">
        <v>63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I90" s="37"/>
      <c r="AJ90" s="37"/>
      <c r="AK90" s="37"/>
      <c r="AL90" s="37"/>
      <c r="AM90" s="64"/>
    </row>
    <row r="91" ht="15.75" customHeight="1">
      <c r="A91" s="25"/>
      <c r="B91" s="98"/>
      <c r="C91" s="95"/>
      <c r="D91" s="95"/>
      <c r="E91" s="17" t="s">
        <v>104</v>
      </c>
      <c r="F91" s="17"/>
      <c r="G91" s="68" t="s">
        <v>24</v>
      </c>
      <c r="H91" s="17"/>
      <c r="I91" s="91">
        <v>0.0</v>
      </c>
      <c r="J91" s="4"/>
      <c r="K91" s="4" t="str">
        <f t="shared" si="11"/>
        <v/>
      </c>
      <c r="L91" s="18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I91" s="37"/>
      <c r="AJ91" s="37"/>
      <c r="AK91" s="37"/>
      <c r="AL91" s="37"/>
      <c r="AM91" s="64"/>
    </row>
    <row r="92" ht="15.75" customHeight="1">
      <c r="A92" s="25"/>
      <c r="B92" s="11">
        <v>46071.0</v>
      </c>
      <c r="C92" s="39" t="s">
        <v>52</v>
      </c>
      <c r="D92" s="12" t="s">
        <v>78</v>
      </c>
      <c r="E92" s="91" t="s">
        <v>105</v>
      </c>
      <c r="F92" s="17">
        <v>12.0</v>
      </c>
      <c r="G92" s="68" t="s">
        <v>24</v>
      </c>
      <c r="H92" s="17">
        <v>13.0</v>
      </c>
      <c r="I92" s="91" t="s">
        <v>59</v>
      </c>
      <c r="J92" s="4"/>
      <c r="K92" s="4">
        <f t="shared" si="11"/>
        <v>0</v>
      </c>
      <c r="L92" s="18">
        <f t="shared" si="12"/>
        <v>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I92" s="37"/>
      <c r="AJ92" s="37"/>
      <c r="AK92" s="37"/>
      <c r="AL92" s="37"/>
      <c r="AM92" s="64"/>
    </row>
    <row r="93" ht="15.75" customHeight="1">
      <c r="A93" s="29"/>
      <c r="B93" s="11">
        <v>46071.0</v>
      </c>
      <c r="C93" s="39" t="s">
        <v>89</v>
      </c>
      <c r="D93" s="12" t="s">
        <v>78</v>
      </c>
      <c r="E93" s="17" t="s">
        <v>107</v>
      </c>
      <c r="F93" s="17">
        <v>8.0</v>
      </c>
      <c r="G93" s="68" t="s">
        <v>24</v>
      </c>
      <c r="H93" s="17">
        <v>12.0</v>
      </c>
      <c r="I93" s="91" t="s">
        <v>108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I93" s="37"/>
      <c r="AJ93" s="37"/>
      <c r="AK93" s="37"/>
      <c r="AL93" s="37"/>
      <c r="AM93" s="64"/>
    </row>
    <row r="94" ht="15.75" customHeight="1">
      <c r="A94" s="10">
        <v>5.0</v>
      </c>
      <c r="B94" s="11">
        <v>46071.0</v>
      </c>
      <c r="C94" s="39" t="s">
        <v>90</v>
      </c>
      <c r="D94" s="12" t="s">
        <v>78</v>
      </c>
      <c r="E94" s="17" t="s">
        <v>59</v>
      </c>
      <c r="F94" s="17">
        <v>7.0</v>
      </c>
      <c r="G94" s="68" t="s">
        <v>24</v>
      </c>
      <c r="H94" s="17">
        <v>9.0</v>
      </c>
      <c r="I94" s="91" t="s">
        <v>102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37"/>
      <c r="AE94" s="37"/>
      <c r="AF94" s="37"/>
      <c r="AG94" s="37"/>
      <c r="AH94" s="37"/>
      <c r="AI94" s="37"/>
      <c r="AJ94" s="37"/>
      <c r="AK94" s="37"/>
      <c r="AL94" s="37"/>
      <c r="AM94" s="64"/>
    </row>
    <row r="95" ht="15.75" customHeight="1">
      <c r="A95" s="25"/>
      <c r="B95" s="11">
        <v>46071.0</v>
      </c>
      <c r="C95" s="39" t="s">
        <v>53</v>
      </c>
      <c r="D95" s="12" t="s">
        <v>78</v>
      </c>
      <c r="E95" s="17" t="s">
        <v>109</v>
      </c>
      <c r="F95" s="17">
        <v>11.0</v>
      </c>
      <c r="G95" s="68" t="s">
        <v>24</v>
      </c>
      <c r="H95" s="17">
        <v>16.0</v>
      </c>
      <c r="I95" s="91" t="s">
        <v>31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37"/>
      <c r="AE95" s="37"/>
      <c r="AF95" s="37"/>
      <c r="AG95" s="37"/>
      <c r="AH95" s="37"/>
      <c r="AI95" s="37"/>
      <c r="AJ95" s="37"/>
      <c r="AK95" s="37"/>
      <c r="AL95" s="37"/>
      <c r="AM95" s="64"/>
    </row>
    <row r="96" ht="15.75" customHeight="1">
      <c r="A96" s="25"/>
      <c r="B96" s="11">
        <v>46071.0</v>
      </c>
      <c r="C96" s="39" t="s">
        <v>92</v>
      </c>
      <c r="D96" s="12" t="s">
        <v>78</v>
      </c>
      <c r="E96" s="17" t="s">
        <v>63</v>
      </c>
      <c r="F96" s="17">
        <v>11.0</v>
      </c>
      <c r="G96" s="68" t="s">
        <v>24</v>
      </c>
      <c r="H96" s="17">
        <v>4.0</v>
      </c>
      <c r="I96" s="91" t="s">
        <v>104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4"/>
      <c r="X96" s="64"/>
      <c r="Y96" s="64"/>
      <c r="Z96" s="64"/>
      <c r="AA96" s="64"/>
      <c r="AB96" s="64"/>
      <c r="AC96" s="64"/>
      <c r="AD96" s="37"/>
      <c r="AE96" s="37"/>
      <c r="AF96" s="37"/>
      <c r="AG96" s="37"/>
      <c r="AH96" s="37"/>
      <c r="AI96" s="37"/>
      <c r="AJ96" s="37"/>
      <c r="AK96" s="37"/>
      <c r="AL96" s="37"/>
      <c r="AM96" s="64"/>
    </row>
    <row r="97" ht="15.75" customHeight="1">
      <c r="A97" s="25"/>
      <c r="B97" s="11">
        <v>46071.0</v>
      </c>
      <c r="C97" s="39" t="s">
        <v>93</v>
      </c>
      <c r="D97" s="12" t="s">
        <v>78</v>
      </c>
      <c r="E97" s="17" t="s">
        <v>108</v>
      </c>
      <c r="F97" s="17">
        <v>15.0</v>
      </c>
      <c r="G97" s="68" t="s">
        <v>24</v>
      </c>
      <c r="H97" s="17">
        <v>9.0</v>
      </c>
      <c r="I97" s="91" t="s">
        <v>105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4"/>
      <c r="X97" s="64"/>
      <c r="Y97" s="64"/>
      <c r="Z97" s="64"/>
      <c r="AA97" s="64"/>
      <c r="AB97" s="64"/>
      <c r="AC97" s="64"/>
      <c r="AD97" s="37"/>
      <c r="AE97" s="37"/>
      <c r="AF97" s="37"/>
      <c r="AG97" s="37"/>
      <c r="AH97" s="37"/>
      <c r="AI97" s="37"/>
      <c r="AJ97" s="37"/>
      <c r="AK97" s="37"/>
      <c r="AL97" s="37"/>
      <c r="AM97" s="64"/>
    </row>
    <row r="98" ht="15.75" customHeight="1">
      <c r="A98" s="29"/>
      <c r="B98" s="97"/>
      <c r="C98" s="68"/>
      <c r="D98" s="93"/>
      <c r="E98" s="17">
        <v>0.0</v>
      </c>
      <c r="F98" s="93"/>
      <c r="G98" s="68" t="s">
        <v>24</v>
      </c>
      <c r="H98" s="93"/>
      <c r="I98" s="91" t="s">
        <v>107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4"/>
      <c r="X98" s="64"/>
      <c r="Y98" s="64"/>
      <c r="Z98" s="64"/>
      <c r="AA98" s="64"/>
      <c r="AB98" s="64"/>
      <c r="AC98" s="64"/>
      <c r="AD98" s="37"/>
      <c r="AE98" s="37"/>
      <c r="AF98" s="37"/>
      <c r="AG98" s="37"/>
      <c r="AH98" s="37"/>
      <c r="AI98" s="37"/>
      <c r="AJ98" s="37"/>
      <c r="AK98" s="37"/>
      <c r="AL98" s="37"/>
      <c r="AM98" s="64"/>
    </row>
    <row r="99" ht="15.75" customHeight="1">
      <c r="A99" s="10">
        <v>6.0</v>
      </c>
      <c r="B99" s="11">
        <v>46148.0</v>
      </c>
      <c r="C99" s="39" t="s">
        <v>92</v>
      </c>
      <c r="D99" s="12" t="s">
        <v>78</v>
      </c>
      <c r="E99" s="17" t="s">
        <v>102</v>
      </c>
      <c r="F99" s="17">
        <v>6.0</v>
      </c>
      <c r="G99" s="68" t="s">
        <v>24</v>
      </c>
      <c r="H99" s="17">
        <v>10.0</v>
      </c>
      <c r="I99" s="91" t="s">
        <v>108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4"/>
      <c r="X99" s="64"/>
      <c r="Y99" s="64"/>
      <c r="Z99" s="64"/>
      <c r="AA99" s="64"/>
      <c r="AB99" s="64"/>
      <c r="AC99" s="64"/>
      <c r="AD99" s="37"/>
      <c r="AE99" s="37"/>
      <c r="AF99" s="37"/>
      <c r="AG99" s="37"/>
      <c r="AH99" s="37"/>
      <c r="AI99" s="37"/>
      <c r="AJ99" s="37"/>
      <c r="AK99" s="37"/>
      <c r="AL99" s="37"/>
      <c r="AM99" s="64"/>
    </row>
    <row r="100" ht="15.75" customHeight="1">
      <c r="A100" s="25"/>
      <c r="B100" s="11">
        <v>46085.0</v>
      </c>
      <c r="C100" s="39" t="s">
        <v>97</v>
      </c>
      <c r="D100" s="39" t="s">
        <v>22</v>
      </c>
      <c r="E100" s="17" t="s">
        <v>31</v>
      </c>
      <c r="F100" s="17">
        <v>16.0</v>
      </c>
      <c r="G100" s="68" t="s">
        <v>24</v>
      </c>
      <c r="H100" s="17">
        <v>5.0</v>
      </c>
      <c r="I100" s="91" t="s">
        <v>59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4"/>
      <c r="X100" s="64"/>
      <c r="Y100" s="64"/>
      <c r="Z100" s="64"/>
      <c r="AA100" s="64"/>
      <c r="AB100" s="64"/>
      <c r="AC100" s="64"/>
      <c r="AD100" s="37"/>
      <c r="AE100" s="37"/>
      <c r="AF100" s="37"/>
      <c r="AG100" s="37"/>
      <c r="AH100" s="37"/>
      <c r="AI100" s="37"/>
      <c r="AJ100" s="37"/>
      <c r="AK100" s="37"/>
      <c r="AL100" s="37"/>
      <c r="AM100" s="64"/>
    </row>
    <row r="101" ht="15.75" customHeight="1">
      <c r="A101" s="25"/>
      <c r="B101" s="11">
        <v>46085.0</v>
      </c>
      <c r="C101" s="67" t="s">
        <v>87</v>
      </c>
      <c r="D101" s="39" t="s">
        <v>22</v>
      </c>
      <c r="E101" s="17" t="s">
        <v>104</v>
      </c>
      <c r="F101" s="17">
        <v>5.0</v>
      </c>
      <c r="G101" s="68" t="s">
        <v>24</v>
      </c>
      <c r="H101" s="17">
        <v>16.0</v>
      </c>
      <c r="I101" s="91" t="s">
        <v>109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4"/>
      <c r="X101" s="64"/>
      <c r="Y101" s="64"/>
      <c r="Z101" s="64"/>
      <c r="AA101" s="64"/>
      <c r="AB101" s="64"/>
      <c r="AC101" s="64"/>
      <c r="AD101" s="37"/>
      <c r="AE101" s="37"/>
      <c r="AF101" s="37"/>
      <c r="AG101" s="37"/>
      <c r="AH101" s="37"/>
      <c r="AI101" s="37"/>
      <c r="AJ101" s="37"/>
      <c r="AK101" s="37"/>
      <c r="AL101" s="37"/>
      <c r="AM101" s="64"/>
    </row>
    <row r="102" ht="15.75" customHeight="1">
      <c r="A102" s="25"/>
      <c r="B102" s="98"/>
      <c r="C102" s="95"/>
      <c r="D102" s="99"/>
      <c r="E102" s="17" t="s">
        <v>63</v>
      </c>
      <c r="F102" s="93"/>
      <c r="G102" s="68" t="s">
        <v>24</v>
      </c>
      <c r="H102" s="93"/>
      <c r="I102" s="91">
        <v>0.0</v>
      </c>
      <c r="J102" s="64"/>
      <c r="K102" s="4" t="str">
        <f t="shared" si="11"/>
        <v/>
      </c>
      <c r="L102" s="18" t="str">
        <f t="shared" si="12"/>
        <v/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37"/>
      <c r="AE102" s="37"/>
      <c r="AF102" s="37"/>
      <c r="AG102" s="37"/>
      <c r="AH102" s="37"/>
      <c r="AI102" s="37"/>
      <c r="AJ102" s="37"/>
      <c r="AK102" s="37"/>
      <c r="AL102" s="37"/>
      <c r="AM102" s="64"/>
    </row>
    <row r="103" ht="15.75" customHeight="1">
      <c r="A103" s="29"/>
      <c r="B103" s="11">
        <v>46085.0</v>
      </c>
      <c r="C103" s="39" t="s">
        <v>55</v>
      </c>
      <c r="D103" s="39" t="s">
        <v>22</v>
      </c>
      <c r="E103" s="91" t="s">
        <v>105</v>
      </c>
      <c r="F103" s="17">
        <v>12.0</v>
      </c>
      <c r="G103" s="68" t="s">
        <v>24</v>
      </c>
      <c r="H103" s="17">
        <v>10.0</v>
      </c>
      <c r="I103" s="91" t="s">
        <v>107</v>
      </c>
      <c r="J103" s="64"/>
      <c r="K103" s="4">
        <f t="shared" si="11"/>
        <v>2</v>
      </c>
      <c r="L103" s="18">
        <f t="shared" si="12"/>
        <v>0</v>
      </c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37"/>
      <c r="AE103" s="37"/>
      <c r="AF103" s="37"/>
      <c r="AG103" s="37"/>
      <c r="AH103" s="37"/>
      <c r="AI103" s="37"/>
      <c r="AJ103" s="37"/>
      <c r="AK103" s="37"/>
      <c r="AL103" s="37"/>
      <c r="AM103" s="64"/>
    </row>
    <row r="104" ht="15.75" customHeight="1">
      <c r="A104" s="10">
        <v>7.0</v>
      </c>
      <c r="B104" s="11">
        <v>46148.0</v>
      </c>
      <c r="C104" s="39" t="s">
        <v>89</v>
      </c>
      <c r="D104" s="12" t="s">
        <v>78</v>
      </c>
      <c r="E104" s="39" t="s">
        <v>107</v>
      </c>
      <c r="F104" s="17">
        <v>9.0</v>
      </c>
      <c r="G104" s="68" t="s">
        <v>24</v>
      </c>
      <c r="H104" s="17">
        <v>10.0</v>
      </c>
      <c r="I104" s="91" t="s">
        <v>102</v>
      </c>
      <c r="J104" s="64"/>
      <c r="K104" s="4">
        <f t="shared" si="11"/>
        <v>0</v>
      </c>
      <c r="L104" s="18">
        <f t="shared" si="12"/>
        <v>2</v>
      </c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</row>
    <row r="105" ht="15.75" customHeight="1">
      <c r="A105" s="25"/>
      <c r="B105" s="11">
        <v>46148.0</v>
      </c>
      <c r="C105" s="39" t="s">
        <v>90</v>
      </c>
      <c r="D105" s="12" t="s">
        <v>78</v>
      </c>
      <c r="E105" s="39" t="s">
        <v>108</v>
      </c>
      <c r="F105" s="17">
        <v>12.0</v>
      </c>
      <c r="G105" s="68" t="s">
        <v>24</v>
      </c>
      <c r="H105" s="17">
        <v>13.0</v>
      </c>
      <c r="I105" s="91" t="s">
        <v>31</v>
      </c>
      <c r="J105" s="64"/>
      <c r="K105" s="4">
        <f t="shared" si="11"/>
        <v>0</v>
      </c>
      <c r="L105" s="18">
        <f t="shared" si="12"/>
        <v>2</v>
      </c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</row>
    <row r="106" ht="15.75" customHeight="1">
      <c r="A106" s="25"/>
      <c r="B106" s="11">
        <v>46148.0</v>
      </c>
      <c r="C106" s="39" t="s">
        <v>53</v>
      </c>
      <c r="D106" s="12" t="s">
        <v>78</v>
      </c>
      <c r="E106" s="39" t="s">
        <v>59</v>
      </c>
      <c r="F106" s="17">
        <v>6.0</v>
      </c>
      <c r="G106" s="68" t="s">
        <v>24</v>
      </c>
      <c r="H106" s="17">
        <v>8.0</v>
      </c>
      <c r="I106" s="91" t="s">
        <v>104</v>
      </c>
      <c r="J106" s="64"/>
      <c r="K106" s="4">
        <f t="shared" si="11"/>
        <v>0</v>
      </c>
      <c r="L106" s="18">
        <f t="shared" si="12"/>
        <v>2</v>
      </c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</row>
    <row r="107" ht="15.75" customHeight="1">
      <c r="A107" s="25"/>
      <c r="B107" s="11">
        <v>46085.0</v>
      </c>
      <c r="C107" s="67" t="s">
        <v>51</v>
      </c>
      <c r="D107" s="39" t="s">
        <v>22</v>
      </c>
      <c r="E107" s="17" t="s">
        <v>109</v>
      </c>
      <c r="F107" s="17">
        <v>20.0</v>
      </c>
      <c r="G107" s="68" t="s">
        <v>24</v>
      </c>
      <c r="H107" s="17">
        <v>6.0</v>
      </c>
      <c r="I107" s="91" t="s">
        <v>63</v>
      </c>
      <c r="J107" s="64"/>
      <c r="K107" s="4">
        <f t="shared" si="11"/>
        <v>2</v>
      </c>
      <c r="L107" s="18">
        <f t="shared" si="12"/>
        <v>0</v>
      </c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</row>
    <row r="108" ht="15.75" customHeight="1">
      <c r="A108" s="29"/>
      <c r="B108" s="97"/>
      <c r="C108" s="68"/>
      <c r="D108" s="68"/>
      <c r="E108" s="17">
        <v>0.0</v>
      </c>
      <c r="F108" s="93"/>
      <c r="G108" s="68" t="s">
        <v>24</v>
      </c>
      <c r="H108" s="93"/>
      <c r="I108" s="91" t="s">
        <v>105</v>
      </c>
      <c r="J108" s="64"/>
      <c r="K108" s="4" t="str">
        <f t="shared" si="11"/>
        <v/>
      </c>
      <c r="L108" s="18" t="str">
        <f t="shared" si="12"/>
        <v/>
      </c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ht="15.75" customHeight="1">
      <c r="A109" s="10">
        <v>8.0</v>
      </c>
      <c r="B109" s="100">
        <v>46155.0</v>
      </c>
      <c r="C109" s="67" t="s">
        <v>111</v>
      </c>
      <c r="D109" s="67" t="s">
        <v>22</v>
      </c>
      <c r="E109" s="17" t="s">
        <v>102</v>
      </c>
      <c r="F109" s="17">
        <v>13.0</v>
      </c>
      <c r="G109" s="68" t="s">
        <v>24</v>
      </c>
      <c r="H109" s="17">
        <v>6.0</v>
      </c>
      <c r="I109" s="91" t="s">
        <v>105</v>
      </c>
      <c r="J109" s="64"/>
      <c r="K109" s="4">
        <f t="shared" si="11"/>
        <v>2</v>
      </c>
      <c r="L109" s="18">
        <f t="shared" si="12"/>
        <v>0</v>
      </c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ht="15.75" customHeight="1">
      <c r="A110" s="25"/>
      <c r="B110" s="100">
        <v>46155.0</v>
      </c>
      <c r="C110" s="67" t="s">
        <v>112</v>
      </c>
      <c r="D110" s="67" t="s">
        <v>22</v>
      </c>
      <c r="E110" s="17" t="s">
        <v>31</v>
      </c>
      <c r="F110" s="17">
        <v>13.0</v>
      </c>
      <c r="G110" s="68" t="s">
        <v>24</v>
      </c>
      <c r="H110" s="17">
        <v>12.0</v>
      </c>
      <c r="I110" s="91" t="s">
        <v>107</v>
      </c>
      <c r="J110" s="64"/>
      <c r="K110" s="4">
        <f t="shared" si="11"/>
        <v>2</v>
      </c>
      <c r="L110" s="18">
        <f t="shared" si="12"/>
        <v>0</v>
      </c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ht="15.75" customHeight="1">
      <c r="A111" s="25"/>
      <c r="B111" s="100">
        <v>46155.0</v>
      </c>
      <c r="C111" s="67" t="s">
        <v>113</v>
      </c>
      <c r="D111" s="67" t="s">
        <v>22</v>
      </c>
      <c r="E111" s="17" t="s">
        <v>104</v>
      </c>
      <c r="F111" s="17">
        <v>0.0</v>
      </c>
      <c r="G111" s="68" t="s">
        <v>24</v>
      </c>
      <c r="H111" s="17">
        <v>21.0</v>
      </c>
      <c r="I111" s="91" t="s">
        <v>108</v>
      </c>
      <c r="J111" s="64"/>
      <c r="K111" s="4">
        <f t="shared" si="11"/>
        <v>0</v>
      </c>
      <c r="L111" s="18">
        <f t="shared" si="12"/>
        <v>2</v>
      </c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ht="15.75" customHeight="1">
      <c r="A112" s="25"/>
      <c r="B112" s="100">
        <v>46155.0</v>
      </c>
      <c r="C112" s="67" t="s">
        <v>114</v>
      </c>
      <c r="D112" s="67" t="s">
        <v>22</v>
      </c>
      <c r="E112" s="17" t="s">
        <v>63</v>
      </c>
      <c r="F112" s="17">
        <v>13.0</v>
      </c>
      <c r="G112" s="68" t="s">
        <v>24</v>
      </c>
      <c r="H112" s="17">
        <v>6.0</v>
      </c>
      <c r="I112" s="91" t="s">
        <v>59</v>
      </c>
      <c r="J112" s="64"/>
      <c r="K112" s="4">
        <f t="shared" si="11"/>
        <v>2</v>
      </c>
      <c r="L112" s="18">
        <f t="shared" si="12"/>
        <v>0</v>
      </c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ht="15.75" customHeight="1">
      <c r="A113" s="29"/>
      <c r="B113" s="97"/>
      <c r="C113" s="68"/>
      <c r="D113" s="68"/>
      <c r="E113" s="17" t="s">
        <v>109</v>
      </c>
      <c r="F113" s="93"/>
      <c r="G113" s="68" t="s">
        <v>24</v>
      </c>
      <c r="H113" s="93"/>
      <c r="I113" s="91">
        <v>0.0</v>
      </c>
      <c r="J113" s="64"/>
      <c r="K113" s="4" t="str">
        <f t="shared" si="11"/>
        <v/>
      </c>
      <c r="L113" s="18" t="str">
        <f t="shared" si="12"/>
        <v/>
      </c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ht="15.75" customHeight="1">
      <c r="A114" s="10">
        <v>9.0</v>
      </c>
      <c r="B114" s="97"/>
      <c r="C114" s="68"/>
      <c r="D114" s="68"/>
      <c r="E114" s="17">
        <v>0.0</v>
      </c>
      <c r="F114" s="93"/>
      <c r="G114" s="68" t="s">
        <v>24</v>
      </c>
      <c r="H114" s="93"/>
      <c r="I114" s="91" t="s">
        <v>102</v>
      </c>
      <c r="J114" s="64"/>
      <c r="K114" s="4" t="str">
        <f t="shared" si="11"/>
        <v/>
      </c>
      <c r="L114" s="18" t="str">
        <f t="shared" si="12"/>
        <v/>
      </c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ht="15.75" customHeight="1">
      <c r="A115" s="25"/>
      <c r="B115" s="100">
        <v>46155.0</v>
      </c>
      <c r="C115" s="67" t="s">
        <v>115</v>
      </c>
      <c r="D115" s="67" t="s">
        <v>22</v>
      </c>
      <c r="E115" s="17" t="s">
        <v>105</v>
      </c>
      <c r="F115" s="17">
        <v>6.0</v>
      </c>
      <c r="G115" s="68" t="s">
        <v>24</v>
      </c>
      <c r="H115" s="17">
        <v>18.0</v>
      </c>
      <c r="I115" s="91" t="s">
        <v>31</v>
      </c>
      <c r="J115" s="64"/>
      <c r="K115" s="4">
        <f t="shared" si="11"/>
        <v>0</v>
      </c>
      <c r="L115" s="18">
        <f t="shared" si="12"/>
        <v>2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ht="15.75" customHeight="1">
      <c r="A116" s="25"/>
      <c r="B116" s="100">
        <v>46155.0</v>
      </c>
      <c r="C116" s="67" t="s">
        <v>116</v>
      </c>
      <c r="D116" s="67" t="s">
        <v>22</v>
      </c>
      <c r="E116" s="17" t="s">
        <v>107</v>
      </c>
      <c r="F116" s="17">
        <v>21.0</v>
      </c>
      <c r="G116" s="68" t="s">
        <v>24</v>
      </c>
      <c r="H116" s="17">
        <v>0.0</v>
      </c>
      <c r="I116" s="91" t="s">
        <v>104</v>
      </c>
      <c r="J116" s="64"/>
      <c r="K116" s="4">
        <f t="shared" si="11"/>
        <v>2</v>
      </c>
      <c r="L116" s="18">
        <f t="shared" si="12"/>
        <v>0</v>
      </c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ht="15.75" customHeight="1">
      <c r="A117" s="25"/>
      <c r="B117" s="100">
        <v>46155.0</v>
      </c>
      <c r="C117" s="67" t="s">
        <v>117</v>
      </c>
      <c r="D117" s="67" t="s">
        <v>22</v>
      </c>
      <c r="E117" s="17" t="s">
        <v>108</v>
      </c>
      <c r="F117" s="17">
        <v>15.0</v>
      </c>
      <c r="G117" s="68" t="s">
        <v>24</v>
      </c>
      <c r="H117" s="17">
        <v>20.0</v>
      </c>
      <c r="I117" s="91" t="s">
        <v>63</v>
      </c>
      <c r="J117" s="64"/>
      <c r="K117" s="4">
        <f t="shared" si="11"/>
        <v>0</v>
      </c>
      <c r="L117" s="18">
        <f t="shared" si="12"/>
        <v>2</v>
      </c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ht="15.75" customHeight="1">
      <c r="A118" s="29"/>
      <c r="B118" s="100">
        <v>46155.0</v>
      </c>
      <c r="C118" s="67" t="s">
        <v>118</v>
      </c>
      <c r="D118" s="67" t="s">
        <v>22</v>
      </c>
      <c r="E118" s="17" t="s">
        <v>59</v>
      </c>
      <c r="F118" s="17">
        <v>10.0</v>
      </c>
      <c r="G118" s="68" t="s">
        <v>24</v>
      </c>
      <c r="H118" s="17">
        <v>21.0</v>
      </c>
      <c r="I118" s="91" t="s">
        <v>109</v>
      </c>
      <c r="J118" s="64"/>
      <c r="K118" s="4">
        <f t="shared" si="11"/>
        <v>0</v>
      </c>
      <c r="L118" s="18">
        <f t="shared" si="12"/>
        <v>2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</row>
    <row r="123" ht="15.75" customHeight="1">
      <c r="A123" s="88"/>
      <c r="B123" s="89"/>
      <c r="C123" s="89"/>
      <c r="D123" s="89"/>
      <c r="E123" s="89"/>
      <c r="F123" s="89"/>
      <c r="G123" s="89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37"/>
      <c r="AE123" s="37"/>
      <c r="AF123" s="37"/>
      <c r="AG123" s="37"/>
      <c r="AH123" s="37"/>
      <c r="AI123" s="37"/>
      <c r="AJ123" s="37"/>
      <c r="AK123" s="37"/>
      <c r="AL123" s="37"/>
      <c r="AM123" s="64"/>
    </row>
    <row r="124" ht="15.75" customHeight="1">
      <c r="A124" s="88" t="s">
        <v>119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37"/>
      <c r="AE124" s="37"/>
      <c r="AF124" s="37"/>
      <c r="AG124" s="37"/>
      <c r="AH124" s="37"/>
      <c r="AI124" s="37"/>
      <c r="AJ124" s="37"/>
      <c r="AK124" s="37"/>
      <c r="AL124" s="37"/>
      <c r="AM124" s="64"/>
    </row>
    <row r="125" ht="15.75" customHeight="1">
      <c r="A125" s="6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81</v>
      </c>
      <c r="U125" s="9" t="s">
        <v>82</v>
      </c>
      <c r="V125" s="9" t="s">
        <v>83</v>
      </c>
      <c r="W125" s="37"/>
      <c r="X125" s="6" t="s">
        <v>20</v>
      </c>
      <c r="Y125" s="8"/>
      <c r="Z125" s="37"/>
      <c r="AA125" s="37"/>
      <c r="AB125" s="37"/>
      <c r="AC125" s="37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81</v>
      </c>
      <c r="AK125" s="5" t="s">
        <v>82</v>
      </c>
      <c r="AL125" s="5" t="s">
        <v>83</v>
      </c>
      <c r="AM125" s="64"/>
    </row>
    <row r="126" ht="15.75" customHeight="1">
      <c r="A126" s="10">
        <v>1.0</v>
      </c>
      <c r="B126" s="44">
        <v>45952.0</v>
      </c>
      <c r="C126" s="12" t="s">
        <v>84</v>
      </c>
      <c r="D126" s="72" t="s">
        <v>78</v>
      </c>
      <c r="E126" s="17" t="s">
        <v>68</v>
      </c>
      <c r="F126" s="17">
        <v>11.0</v>
      </c>
      <c r="G126" s="68" t="s">
        <v>24</v>
      </c>
      <c r="H126" s="17">
        <v>2.0</v>
      </c>
      <c r="I126" s="17" t="s">
        <v>120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8" t="s">
        <v>120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7</v>
      </c>
      <c r="T126" s="18">
        <f t="shared" ref="T126:T134" si="26">SUMIF(E$126:E$170,O126,F$126:F$170)+SUMIF(I$126:I$170,O126,H$126:H$170)</f>
        <v>54</v>
      </c>
      <c r="U126" s="20">
        <f t="shared" ref="U126:U134" si="27">SUMIF(E$126:E$170,O126,H$126:H$170)+SUMIF(I$126:I$170,O126,F$126:F$170)</f>
        <v>87</v>
      </c>
      <c r="V126" s="18">
        <f t="shared" ref="V126:V134" si="28">T126-U126</f>
        <v>-33</v>
      </c>
      <c r="W126" s="64"/>
      <c r="X126" s="70" t="s">
        <v>26</v>
      </c>
      <c r="Y126" s="70" t="s">
        <v>13</v>
      </c>
      <c r="Z126" s="64"/>
      <c r="AA126" s="64"/>
      <c r="AB126" s="64"/>
      <c r="AC126" s="64"/>
      <c r="AD126" s="46" t="s">
        <v>29</v>
      </c>
      <c r="AE126" s="71" t="str">
        <f t="array" ref="AE126:AM134">SORT(O126:X134,2,FALSE,9,FALSE,8,FALSE())</f>
        <v>Eng. Biomédica</v>
      </c>
      <c r="AF126" s="23">
        <v>14.0</v>
      </c>
      <c r="AG126" s="23">
        <v>7.0</v>
      </c>
      <c r="AH126" s="24">
        <v>0.0</v>
      </c>
      <c r="AI126" s="24">
        <v>1.0</v>
      </c>
      <c r="AJ126" s="23">
        <v>120.0</v>
      </c>
      <c r="AK126" s="24">
        <v>69.0</v>
      </c>
      <c r="AL126" s="23">
        <v>51.0</v>
      </c>
      <c r="AM126" s="64"/>
    </row>
    <row r="127" ht="15.75" customHeight="1">
      <c r="A127" s="25"/>
      <c r="B127" s="44">
        <v>45952.0</v>
      </c>
      <c r="C127" s="12" t="s">
        <v>86</v>
      </c>
      <c r="D127" s="72" t="s">
        <v>78</v>
      </c>
      <c r="E127" s="17" t="s">
        <v>45</v>
      </c>
      <c r="F127" s="17">
        <v>11.0</v>
      </c>
      <c r="G127" s="68" t="s">
        <v>24</v>
      </c>
      <c r="H127" s="17">
        <v>9.0</v>
      </c>
      <c r="I127" s="17" t="s">
        <v>121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8" t="s">
        <v>68</v>
      </c>
      <c r="P127" s="18">
        <f t="shared" si="22"/>
        <v>6</v>
      </c>
      <c r="Q127" s="18">
        <f t="shared" si="23"/>
        <v>3</v>
      </c>
      <c r="R127" s="20">
        <f t="shared" si="24"/>
        <v>0</v>
      </c>
      <c r="S127" s="20">
        <f t="shared" si="25"/>
        <v>5</v>
      </c>
      <c r="T127" s="18">
        <f t="shared" si="26"/>
        <v>90</v>
      </c>
      <c r="U127" s="20">
        <f t="shared" si="27"/>
        <v>80</v>
      </c>
      <c r="V127" s="18">
        <f t="shared" si="28"/>
        <v>10</v>
      </c>
      <c r="W127" s="64"/>
      <c r="X127" s="28" t="s">
        <v>37</v>
      </c>
      <c r="Y127" s="28">
        <v>3.0</v>
      </c>
      <c r="Z127" s="64"/>
      <c r="AA127" s="64"/>
      <c r="AB127" s="64"/>
      <c r="AC127" s="64"/>
      <c r="AD127" s="74" t="s">
        <v>106</v>
      </c>
      <c r="AE127" s="71" t="s">
        <v>58</v>
      </c>
      <c r="AF127" s="23">
        <v>14.0</v>
      </c>
      <c r="AG127" s="23">
        <v>7.0</v>
      </c>
      <c r="AH127" s="24">
        <v>0.0</v>
      </c>
      <c r="AI127" s="24">
        <v>1.0</v>
      </c>
      <c r="AJ127" s="23">
        <v>103.0</v>
      </c>
      <c r="AK127" s="24">
        <v>76.0</v>
      </c>
      <c r="AL127" s="23">
        <v>27.0</v>
      </c>
      <c r="AM127" s="64"/>
    </row>
    <row r="128" ht="15.75" customHeight="1">
      <c r="A128" s="25"/>
      <c r="B128" s="44">
        <v>45952.0</v>
      </c>
      <c r="C128" s="12" t="s">
        <v>52</v>
      </c>
      <c r="D128" s="72" t="s">
        <v>78</v>
      </c>
      <c r="E128" s="17" t="s">
        <v>60</v>
      </c>
      <c r="F128" s="17">
        <v>8.0</v>
      </c>
      <c r="G128" s="68" t="s">
        <v>24</v>
      </c>
      <c r="H128" s="17">
        <v>14.0</v>
      </c>
      <c r="I128" s="17" t="s">
        <v>66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8" t="s">
        <v>45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5</v>
      </c>
      <c r="T128" s="18">
        <f t="shared" si="26"/>
        <v>47</v>
      </c>
      <c r="U128" s="20">
        <f t="shared" si="27"/>
        <v>89</v>
      </c>
      <c r="V128" s="18">
        <f t="shared" si="28"/>
        <v>-42</v>
      </c>
      <c r="W128" s="64"/>
      <c r="X128" s="28" t="s">
        <v>108</v>
      </c>
      <c r="Y128" s="28">
        <v>0.0</v>
      </c>
      <c r="Z128" s="64"/>
      <c r="AA128" s="64"/>
      <c r="AB128" s="64"/>
      <c r="AC128" s="64"/>
      <c r="AD128" s="22">
        <v>3.0</v>
      </c>
      <c r="AE128" s="71" t="s">
        <v>122</v>
      </c>
      <c r="AF128" s="23">
        <v>12.0</v>
      </c>
      <c r="AG128" s="23">
        <v>6.0</v>
      </c>
      <c r="AH128" s="24">
        <v>0.0</v>
      </c>
      <c r="AI128" s="24">
        <v>2.0</v>
      </c>
      <c r="AJ128" s="23">
        <v>106.0</v>
      </c>
      <c r="AK128" s="24">
        <v>89.0</v>
      </c>
      <c r="AL128" s="23">
        <v>17.0</v>
      </c>
      <c r="AM128" s="64"/>
    </row>
    <row r="129" ht="15.75" customHeight="1">
      <c r="A129" s="25"/>
      <c r="B129" s="44">
        <v>45952.0</v>
      </c>
      <c r="C129" s="67" t="s">
        <v>89</v>
      </c>
      <c r="D129" s="72" t="s">
        <v>78</v>
      </c>
      <c r="E129" s="17" t="s">
        <v>58</v>
      </c>
      <c r="F129" s="17">
        <v>17.0</v>
      </c>
      <c r="G129" s="68" t="s">
        <v>24</v>
      </c>
      <c r="H129" s="17">
        <v>12.0</v>
      </c>
      <c r="I129" s="17" t="s">
        <v>122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8" t="s">
        <v>60</v>
      </c>
      <c r="P129" s="18">
        <f t="shared" si="22"/>
        <v>8</v>
      </c>
      <c r="Q129" s="18">
        <f t="shared" si="23"/>
        <v>4</v>
      </c>
      <c r="R129" s="20">
        <f t="shared" si="24"/>
        <v>0</v>
      </c>
      <c r="S129" s="20">
        <f t="shared" si="25"/>
        <v>4</v>
      </c>
      <c r="T129" s="18">
        <f t="shared" si="26"/>
        <v>76</v>
      </c>
      <c r="U129" s="20">
        <f t="shared" si="27"/>
        <v>74</v>
      </c>
      <c r="V129" s="18">
        <f t="shared" si="28"/>
        <v>2</v>
      </c>
      <c r="W129" s="64"/>
      <c r="X129" s="64"/>
      <c r="Y129" s="64"/>
      <c r="Z129" s="64"/>
      <c r="AA129" s="64"/>
      <c r="AB129" s="64"/>
      <c r="AC129" s="64"/>
      <c r="AD129" s="22">
        <v>4.0</v>
      </c>
      <c r="AE129" s="71" t="s">
        <v>60</v>
      </c>
      <c r="AF129" s="23">
        <v>8.0</v>
      </c>
      <c r="AG129" s="23">
        <v>4.0</v>
      </c>
      <c r="AH129" s="24">
        <v>0.0</v>
      </c>
      <c r="AI129" s="24">
        <v>4.0</v>
      </c>
      <c r="AJ129" s="23">
        <v>76.0</v>
      </c>
      <c r="AK129" s="24">
        <v>74.0</v>
      </c>
      <c r="AL129" s="23">
        <v>2.0</v>
      </c>
      <c r="AM129" s="64"/>
    </row>
    <row r="130" ht="15.75" customHeight="1">
      <c r="A130" s="29"/>
      <c r="B130" s="92"/>
      <c r="C130" s="68"/>
      <c r="D130" s="68"/>
      <c r="E130" s="17" t="s">
        <v>67</v>
      </c>
      <c r="F130" s="93"/>
      <c r="G130" s="68" t="s">
        <v>24</v>
      </c>
      <c r="H130" s="93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8" t="s">
        <v>58</v>
      </c>
      <c r="P130" s="18">
        <f t="shared" si="22"/>
        <v>14</v>
      </c>
      <c r="Q130" s="18">
        <f t="shared" si="23"/>
        <v>7</v>
      </c>
      <c r="R130" s="20">
        <f t="shared" si="24"/>
        <v>0</v>
      </c>
      <c r="S130" s="20">
        <f t="shared" si="25"/>
        <v>1</v>
      </c>
      <c r="T130" s="18">
        <f t="shared" si="26"/>
        <v>103</v>
      </c>
      <c r="U130" s="20">
        <f t="shared" si="27"/>
        <v>76</v>
      </c>
      <c r="V130" s="18">
        <f t="shared" si="28"/>
        <v>27</v>
      </c>
      <c r="W130" s="64"/>
      <c r="X130" s="64"/>
      <c r="Y130" s="64"/>
      <c r="Z130" s="64"/>
      <c r="AA130" s="64"/>
      <c r="AB130" s="64"/>
      <c r="AC130" s="64"/>
      <c r="AD130" s="22">
        <v>5.0</v>
      </c>
      <c r="AE130" s="71" t="s">
        <v>68</v>
      </c>
      <c r="AF130" s="23">
        <v>6.0</v>
      </c>
      <c r="AG130" s="23">
        <v>3.0</v>
      </c>
      <c r="AH130" s="24">
        <v>0.0</v>
      </c>
      <c r="AI130" s="24">
        <v>5.0</v>
      </c>
      <c r="AJ130" s="23">
        <v>90.0</v>
      </c>
      <c r="AK130" s="24">
        <v>80.0</v>
      </c>
      <c r="AL130" s="23">
        <v>10.0</v>
      </c>
      <c r="AM130" s="64"/>
    </row>
    <row r="131" ht="15.75" customHeight="1">
      <c r="A131" s="10">
        <v>2.0</v>
      </c>
      <c r="B131" s="44">
        <v>45952.0</v>
      </c>
      <c r="C131" s="39" t="s">
        <v>89</v>
      </c>
      <c r="D131" s="72" t="s">
        <v>78</v>
      </c>
      <c r="E131" s="17" t="s">
        <v>120</v>
      </c>
      <c r="F131" s="17">
        <v>6.0</v>
      </c>
      <c r="G131" s="68" t="s">
        <v>24</v>
      </c>
      <c r="H131" s="17">
        <v>5.0</v>
      </c>
      <c r="I131" s="17" t="s">
        <v>45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8" t="s">
        <v>67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5</v>
      </c>
      <c r="T131" s="18">
        <f t="shared" si="26"/>
        <v>74</v>
      </c>
      <c r="U131" s="20">
        <f t="shared" si="27"/>
        <v>77</v>
      </c>
      <c r="V131" s="18">
        <f t="shared" si="28"/>
        <v>-3</v>
      </c>
      <c r="W131" s="64"/>
      <c r="X131" s="64"/>
      <c r="Y131" s="64"/>
      <c r="Z131" s="64"/>
      <c r="AA131" s="64"/>
      <c r="AB131" s="64"/>
      <c r="AC131" s="64"/>
      <c r="AD131" s="22">
        <v>6.0</v>
      </c>
      <c r="AE131" s="71" t="s">
        <v>67</v>
      </c>
      <c r="AF131" s="23">
        <v>6.0</v>
      </c>
      <c r="AG131" s="23">
        <v>3.0</v>
      </c>
      <c r="AH131" s="24">
        <v>0.0</v>
      </c>
      <c r="AI131" s="24">
        <v>5.0</v>
      </c>
      <c r="AJ131" s="23">
        <v>74.0</v>
      </c>
      <c r="AK131" s="24">
        <v>77.0</v>
      </c>
      <c r="AL131" s="23">
        <v>-3.0</v>
      </c>
      <c r="AM131" s="64"/>
    </row>
    <row r="132" ht="15.75" customHeight="1">
      <c r="A132" s="25"/>
      <c r="B132" s="94"/>
      <c r="C132" s="95"/>
      <c r="D132" s="95"/>
      <c r="E132" s="17">
        <v>0.0</v>
      </c>
      <c r="F132" s="93"/>
      <c r="G132" s="68" t="s">
        <v>24</v>
      </c>
      <c r="H132" s="93"/>
      <c r="I132" s="17" t="s">
        <v>68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8" t="s">
        <v>122</v>
      </c>
      <c r="P132" s="18">
        <f t="shared" si="22"/>
        <v>12</v>
      </c>
      <c r="Q132" s="18">
        <f t="shared" si="23"/>
        <v>6</v>
      </c>
      <c r="R132" s="20">
        <f t="shared" si="24"/>
        <v>0</v>
      </c>
      <c r="S132" s="20">
        <f t="shared" si="25"/>
        <v>2</v>
      </c>
      <c r="T132" s="18">
        <f t="shared" si="26"/>
        <v>106</v>
      </c>
      <c r="U132" s="20">
        <f t="shared" si="27"/>
        <v>89</v>
      </c>
      <c r="V132" s="18">
        <f t="shared" si="28"/>
        <v>17</v>
      </c>
      <c r="W132" s="64"/>
      <c r="X132" s="64"/>
      <c r="Y132" s="64"/>
      <c r="Z132" s="64"/>
      <c r="AA132" s="64"/>
      <c r="AB132" s="64"/>
      <c r="AC132" s="64"/>
      <c r="AD132" s="22">
        <v>7.0</v>
      </c>
      <c r="AE132" s="71" t="s">
        <v>45</v>
      </c>
      <c r="AF132" s="23">
        <v>6.0</v>
      </c>
      <c r="AG132" s="23">
        <v>3.0</v>
      </c>
      <c r="AH132" s="24">
        <v>0.0</v>
      </c>
      <c r="AI132" s="24">
        <v>5.0</v>
      </c>
      <c r="AJ132" s="23">
        <v>47.0</v>
      </c>
      <c r="AK132" s="24">
        <v>89.0</v>
      </c>
      <c r="AL132" s="23">
        <v>-42.0</v>
      </c>
      <c r="AM132" s="64"/>
    </row>
    <row r="133" ht="15.75" customHeight="1">
      <c r="A133" s="25"/>
      <c r="B133" s="44">
        <v>45952.0</v>
      </c>
      <c r="C133" s="39" t="s">
        <v>89</v>
      </c>
      <c r="D133" s="72" t="s">
        <v>78</v>
      </c>
      <c r="E133" s="17" t="s">
        <v>121</v>
      </c>
      <c r="F133" s="17">
        <v>6.0</v>
      </c>
      <c r="G133" s="68" t="s">
        <v>24</v>
      </c>
      <c r="H133" s="17">
        <v>10.0</v>
      </c>
      <c r="I133" s="17" t="s">
        <v>60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8" t="s">
        <v>66</v>
      </c>
      <c r="P133" s="18">
        <f t="shared" si="22"/>
        <v>14</v>
      </c>
      <c r="Q133" s="18">
        <f t="shared" si="23"/>
        <v>7</v>
      </c>
      <c r="R133" s="20">
        <f t="shared" si="24"/>
        <v>0</v>
      </c>
      <c r="S133" s="20">
        <f t="shared" si="25"/>
        <v>1</v>
      </c>
      <c r="T133" s="18">
        <f t="shared" si="26"/>
        <v>120</v>
      </c>
      <c r="U133" s="20">
        <f t="shared" si="27"/>
        <v>69</v>
      </c>
      <c r="V133" s="18">
        <f t="shared" si="28"/>
        <v>51</v>
      </c>
      <c r="W133" s="64"/>
      <c r="X133" s="64"/>
      <c r="Y133" s="64"/>
      <c r="Z133" s="64"/>
      <c r="AA133" s="64"/>
      <c r="AB133" s="64"/>
      <c r="AC133" s="64"/>
      <c r="AD133" s="22">
        <v>8.0</v>
      </c>
      <c r="AE133" s="71" t="s">
        <v>121</v>
      </c>
      <c r="AF133" s="23">
        <v>4.0</v>
      </c>
      <c r="AG133" s="23">
        <v>2.0</v>
      </c>
      <c r="AH133" s="23">
        <v>0.0</v>
      </c>
      <c r="AI133" s="23">
        <v>6.0</v>
      </c>
      <c r="AJ133" s="23">
        <v>72.0</v>
      </c>
      <c r="AK133" s="23">
        <v>101.0</v>
      </c>
      <c r="AL133" s="23">
        <v>-29.0</v>
      </c>
      <c r="AM133" s="64"/>
    </row>
    <row r="134" ht="15.75" customHeight="1">
      <c r="A134" s="25"/>
      <c r="B134" s="11">
        <v>45952.0</v>
      </c>
      <c r="C134" s="39" t="s">
        <v>53</v>
      </c>
      <c r="D134" s="72" t="s">
        <v>78</v>
      </c>
      <c r="E134" s="17" t="s">
        <v>66</v>
      </c>
      <c r="F134" s="17">
        <v>13.0</v>
      </c>
      <c r="G134" s="68" t="s">
        <v>24</v>
      </c>
      <c r="H134" s="17">
        <v>9.0</v>
      </c>
      <c r="I134" s="17" t="s">
        <v>58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8" t="s">
        <v>121</v>
      </c>
      <c r="P134" s="18">
        <f t="shared" si="22"/>
        <v>4</v>
      </c>
      <c r="Q134" s="18">
        <f t="shared" si="23"/>
        <v>2</v>
      </c>
      <c r="R134" s="20">
        <f t="shared" si="24"/>
        <v>0</v>
      </c>
      <c r="S134" s="20">
        <f t="shared" si="25"/>
        <v>6</v>
      </c>
      <c r="T134" s="18">
        <f t="shared" si="26"/>
        <v>72</v>
      </c>
      <c r="U134" s="20">
        <f t="shared" si="27"/>
        <v>101</v>
      </c>
      <c r="V134" s="18">
        <f t="shared" si="28"/>
        <v>-29</v>
      </c>
      <c r="W134" s="64"/>
      <c r="X134" s="64"/>
      <c r="Y134" s="64"/>
      <c r="Z134" s="64"/>
      <c r="AA134" s="64"/>
      <c r="AB134" s="64"/>
      <c r="AC134" s="64"/>
      <c r="AD134" s="22">
        <v>9.0</v>
      </c>
      <c r="AE134" s="28" t="s">
        <v>120</v>
      </c>
      <c r="AF134" s="23">
        <v>2.0</v>
      </c>
      <c r="AG134" s="23">
        <v>1.0</v>
      </c>
      <c r="AH134" s="23">
        <v>0.0</v>
      </c>
      <c r="AI134" s="23">
        <v>7.0</v>
      </c>
      <c r="AJ134" s="23">
        <v>54.0</v>
      </c>
      <c r="AK134" s="23">
        <v>87.0</v>
      </c>
      <c r="AL134" s="23">
        <v>-33.0</v>
      </c>
      <c r="AM134" s="64"/>
    </row>
    <row r="135" ht="15.75" customHeight="1">
      <c r="A135" s="29"/>
      <c r="B135" s="11">
        <v>45952.0</v>
      </c>
      <c r="C135" s="39" t="s">
        <v>53</v>
      </c>
      <c r="D135" s="72" t="s">
        <v>78</v>
      </c>
      <c r="E135" s="17" t="s">
        <v>122</v>
      </c>
      <c r="F135" s="17">
        <v>5.0</v>
      </c>
      <c r="G135" s="68" t="s">
        <v>24</v>
      </c>
      <c r="H135" s="17">
        <v>11.0</v>
      </c>
      <c r="I135" s="17" t="s">
        <v>67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35" t="s">
        <v>123</v>
      </c>
      <c r="AG135" s="96"/>
      <c r="AH135" s="96"/>
      <c r="AI135" s="96"/>
      <c r="AJ135" s="96"/>
      <c r="AK135" s="96"/>
      <c r="AL135" s="96"/>
      <c r="AM135" s="64"/>
    </row>
    <row r="136" ht="15.75" customHeight="1">
      <c r="A136" s="10">
        <v>3.0</v>
      </c>
      <c r="B136" s="11">
        <v>46008.0</v>
      </c>
      <c r="C136" s="39" t="s">
        <v>87</v>
      </c>
      <c r="D136" s="72" t="s">
        <v>78</v>
      </c>
      <c r="E136" s="17" t="s">
        <v>60</v>
      </c>
      <c r="F136" s="17">
        <v>10.0</v>
      </c>
      <c r="G136" s="68" t="s">
        <v>24</v>
      </c>
      <c r="H136" s="17">
        <v>7.0</v>
      </c>
      <c r="I136" s="17" t="s">
        <v>120</v>
      </c>
      <c r="J136" s="4"/>
      <c r="K136" s="4">
        <f t="shared" si="20"/>
        <v>2</v>
      </c>
      <c r="L136" s="18">
        <f t="shared" si="21"/>
        <v>0</v>
      </c>
      <c r="M136" s="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80" t="s">
        <v>96</v>
      </c>
      <c r="AG136" s="64"/>
      <c r="AH136" s="64"/>
      <c r="AI136" s="37"/>
      <c r="AJ136" s="37"/>
      <c r="AK136" s="37"/>
      <c r="AL136" s="37"/>
      <c r="AM136" s="64"/>
    </row>
    <row r="137" ht="15.75" customHeight="1">
      <c r="A137" s="25"/>
      <c r="B137" s="11">
        <v>46008.0</v>
      </c>
      <c r="C137" s="12" t="s">
        <v>55</v>
      </c>
      <c r="D137" s="72" t="s">
        <v>78</v>
      </c>
      <c r="E137" s="17" t="s">
        <v>45</v>
      </c>
      <c r="F137" s="17">
        <v>9.0</v>
      </c>
      <c r="G137" s="68" t="s">
        <v>24</v>
      </c>
      <c r="H137" s="17">
        <v>7.0</v>
      </c>
      <c r="I137" s="17" t="s">
        <v>68</v>
      </c>
      <c r="J137" s="4"/>
      <c r="K137" s="4">
        <f t="shared" si="20"/>
        <v>2</v>
      </c>
      <c r="L137" s="18">
        <f t="shared" si="21"/>
        <v>0</v>
      </c>
      <c r="M137" s="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37"/>
      <c r="AJ137" s="37"/>
      <c r="AK137" s="37"/>
      <c r="AL137" s="37"/>
      <c r="AM137" s="64"/>
    </row>
    <row r="138" ht="15.75" customHeight="1">
      <c r="A138" s="25"/>
      <c r="B138" s="11">
        <v>46008.0</v>
      </c>
      <c r="C138" s="67" t="s">
        <v>84</v>
      </c>
      <c r="D138" s="72" t="s">
        <v>78</v>
      </c>
      <c r="E138" s="17" t="s">
        <v>58</v>
      </c>
      <c r="F138" s="17">
        <v>14.0</v>
      </c>
      <c r="G138" s="68" t="s">
        <v>24</v>
      </c>
      <c r="H138" s="17">
        <v>4.0</v>
      </c>
      <c r="I138" s="17" t="s">
        <v>121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I138" s="37"/>
      <c r="AJ138" s="37"/>
      <c r="AK138" s="37"/>
      <c r="AL138" s="37"/>
      <c r="AM138" s="64"/>
    </row>
    <row r="139" ht="15.75" customHeight="1">
      <c r="A139" s="25"/>
      <c r="B139" s="11">
        <v>46008.0</v>
      </c>
      <c r="C139" s="39" t="s">
        <v>86</v>
      </c>
      <c r="D139" s="72" t="s">
        <v>78</v>
      </c>
      <c r="E139" s="17" t="s">
        <v>67</v>
      </c>
      <c r="F139" s="17">
        <v>9.0</v>
      </c>
      <c r="G139" s="68" t="s">
        <v>24</v>
      </c>
      <c r="H139" s="17">
        <v>14.0</v>
      </c>
      <c r="I139" s="17" t="s">
        <v>66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I139" s="37"/>
      <c r="AJ139" s="37"/>
      <c r="AK139" s="37"/>
      <c r="AL139" s="37"/>
      <c r="AM139" s="64"/>
    </row>
    <row r="140" ht="15.75" customHeight="1">
      <c r="A140" s="29"/>
      <c r="B140" s="97"/>
      <c r="C140" s="68"/>
      <c r="D140" s="68"/>
      <c r="E140" s="17">
        <v>0.0</v>
      </c>
      <c r="F140" s="93"/>
      <c r="G140" s="68" t="s">
        <v>24</v>
      </c>
      <c r="H140" s="93"/>
      <c r="I140" s="17" t="s">
        <v>122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I140" s="37"/>
      <c r="AJ140" s="37"/>
      <c r="AK140" s="37"/>
      <c r="AL140" s="37"/>
      <c r="AM140" s="64"/>
    </row>
    <row r="141" ht="15.75" customHeight="1">
      <c r="A141" s="10">
        <v>4.0</v>
      </c>
      <c r="B141" s="11">
        <v>46071.0</v>
      </c>
      <c r="C141" s="67" t="s">
        <v>84</v>
      </c>
      <c r="D141" s="12" t="s">
        <v>78</v>
      </c>
      <c r="E141" s="17" t="s">
        <v>120</v>
      </c>
      <c r="F141" s="17">
        <v>7.0</v>
      </c>
      <c r="G141" s="68" t="s">
        <v>24</v>
      </c>
      <c r="H141" s="17">
        <v>8.0</v>
      </c>
      <c r="I141" s="17" t="s">
        <v>58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82" t="s">
        <v>98</v>
      </c>
      <c r="AE141" s="83"/>
      <c r="AF141" s="83"/>
      <c r="AG141" s="83"/>
      <c r="AH141" s="83"/>
      <c r="AI141" s="83"/>
      <c r="AJ141" s="83"/>
      <c r="AK141" s="83"/>
      <c r="AL141" s="84"/>
      <c r="AM141" s="64"/>
    </row>
    <row r="142" ht="15.75" customHeight="1">
      <c r="A142" s="25"/>
      <c r="B142" s="11">
        <v>46071.0</v>
      </c>
      <c r="C142" s="39" t="s">
        <v>86</v>
      </c>
      <c r="D142" s="12" t="s">
        <v>78</v>
      </c>
      <c r="E142" s="17" t="s">
        <v>68</v>
      </c>
      <c r="F142" s="17">
        <v>12.0</v>
      </c>
      <c r="G142" s="68" t="s">
        <v>24</v>
      </c>
      <c r="H142" s="17">
        <v>11.0</v>
      </c>
      <c r="I142" s="17" t="s">
        <v>60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85"/>
      <c r="AE142" s="86"/>
      <c r="AF142" s="86"/>
      <c r="AG142" s="86"/>
      <c r="AH142" s="86"/>
      <c r="AI142" s="86"/>
      <c r="AJ142" s="86"/>
      <c r="AK142" s="86"/>
      <c r="AL142" s="87"/>
      <c r="AM142" s="64"/>
    </row>
    <row r="143" ht="15.75" customHeight="1">
      <c r="A143" s="25"/>
      <c r="B143" s="98"/>
      <c r="C143" s="95"/>
      <c r="D143" s="95"/>
      <c r="E143" s="17" t="s">
        <v>45</v>
      </c>
      <c r="F143" s="93"/>
      <c r="G143" s="68" t="s">
        <v>24</v>
      </c>
      <c r="H143" s="93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5" t="s">
        <v>11</v>
      </c>
      <c r="AE143" s="5" t="s">
        <v>12</v>
      </c>
      <c r="AF143" s="5" t="s">
        <v>13</v>
      </c>
      <c r="AG143" s="5" t="s">
        <v>14</v>
      </c>
      <c r="AH143" s="5" t="s">
        <v>15</v>
      </c>
      <c r="AI143" s="5" t="s">
        <v>16</v>
      </c>
      <c r="AJ143" s="5" t="s">
        <v>81</v>
      </c>
      <c r="AK143" s="5" t="s">
        <v>82</v>
      </c>
      <c r="AL143" s="5" t="s">
        <v>83</v>
      </c>
      <c r="AM143" s="64"/>
    </row>
    <row r="144" ht="15.75" customHeight="1">
      <c r="A144" s="25"/>
      <c r="B144" s="11">
        <v>46071.0</v>
      </c>
      <c r="C144" s="39" t="s">
        <v>52</v>
      </c>
      <c r="D144" s="12" t="s">
        <v>78</v>
      </c>
      <c r="E144" s="17" t="s">
        <v>121</v>
      </c>
      <c r="F144" s="17">
        <v>13.0</v>
      </c>
      <c r="G144" s="68" t="s">
        <v>24</v>
      </c>
      <c r="H144" s="17">
        <v>4.0</v>
      </c>
      <c r="I144" s="17" t="s">
        <v>67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46" t="s">
        <v>29</v>
      </c>
      <c r="AE144" s="71" t="s">
        <v>66</v>
      </c>
      <c r="AF144" s="23">
        <v>14.0</v>
      </c>
      <c r="AG144" s="23">
        <v>7.0</v>
      </c>
      <c r="AH144" s="24">
        <v>0.0</v>
      </c>
      <c r="AI144" s="24">
        <v>1.0</v>
      </c>
      <c r="AJ144" s="23">
        <v>120.0</v>
      </c>
      <c r="AK144" s="24">
        <v>69.0</v>
      </c>
      <c r="AL144" s="23">
        <v>51.0</v>
      </c>
      <c r="AM144" s="64"/>
    </row>
    <row r="145" ht="15.75" customHeight="1">
      <c r="A145" s="29"/>
      <c r="B145" s="11">
        <v>46071.0</v>
      </c>
      <c r="C145" s="39" t="s">
        <v>89</v>
      </c>
      <c r="D145" s="12" t="s">
        <v>78</v>
      </c>
      <c r="E145" s="17" t="s">
        <v>66</v>
      </c>
      <c r="F145" s="17">
        <v>12.0</v>
      </c>
      <c r="G145" s="68" t="s">
        <v>24</v>
      </c>
      <c r="H145" s="17">
        <v>16.0</v>
      </c>
      <c r="I145" s="17" t="s">
        <v>122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74" t="s">
        <v>106</v>
      </c>
      <c r="AE145" s="71" t="s">
        <v>58</v>
      </c>
      <c r="AF145" s="23">
        <v>14.0</v>
      </c>
      <c r="AG145" s="23">
        <v>7.0</v>
      </c>
      <c r="AH145" s="24">
        <v>0.0</v>
      </c>
      <c r="AI145" s="24">
        <v>1.0</v>
      </c>
      <c r="AJ145" s="23">
        <v>103.0</v>
      </c>
      <c r="AK145" s="24">
        <v>76.0</v>
      </c>
      <c r="AL145" s="23">
        <v>27.0</v>
      </c>
      <c r="AM145" s="64"/>
    </row>
    <row r="146" ht="15.75" customHeight="1">
      <c r="A146" s="10">
        <v>5.0</v>
      </c>
      <c r="B146" s="11">
        <v>46071.0</v>
      </c>
      <c r="C146" s="39" t="s">
        <v>90</v>
      </c>
      <c r="D146" s="12" t="s">
        <v>78</v>
      </c>
      <c r="E146" s="17" t="s">
        <v>67</v>
      </c>
      <c r="F146" s="17">
        <v>17.0</v>
      </c>
      <c r="G146" s="68" t="s">
        <v>24</v>
      </c>
      <c r="H146" s="17">
        <v>8.0</v>
      </c>
      <c r="I146" s="17" t="s">
        <v>120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22">
        <v>3.0</v>
      </c>
      <c r="AE146" s="71" t="s">
        <v>122</v>
      </c>
      <c r="AF146" s="23">
        <v>12.0</v>
      </c>
      <c r="AG146" s="23">
        <v>6.0</v>
      </c>
      <c r="AH146" s="24">
        <v>0.0</v>
      </c>
      <c r="AI146" s="24">
        <v>2.0</v>
      </c>
      <c r="AJ146" s="23">
        <v>106.0</v>
      </c>
      <c r="AK146" s="24">
        <v>89.0</v>
      </c>
      <c r="AL146" s="23">
        <v>17.0</v>
      </c>
      <c r="AM146" s="64"/>
    </row>
    <row r="147" ht="15.75" customHeight="1">
      <c r="A147" s="25"/>
      <c r="B147" s="11">
        <v>46071.0</v>
      </c>
      <c r="C147" s="39" t="s">
        <v>53</v>
      </c>
      <c r="D147" s="12" t="s">
        <v>78</v>
      </c>
      <c r="E147" s="17" t="s">
        <v>58</v>
      </c>
      <c r="F147" s="17">
        <v>15.0</v>
      </c>
      <c r="G147" s="68" t="s">
        <v>24</v>
      </c>
      <c r="H147" s="17">
        <v>14.0</v>
      </c>
      <c r="I147" s="17" t="s">
        <v>68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4"/>
      <c r="X147" s="64"/>
      <c r="Y147" s="64"/>
      <c r="Z147" s="64"/>
      <c r="AA147" s="64"/>
      <c r="AB147" s="64"/>
      <c r="AC147" s="64"/>
      <c r="AD147" s="22">
        <v>4.0</v>
      </c>
      <c r="AE147" s="71" t="s">
        <v>60</v>
      </c>
      <c r="AF147" s="23">
        <v>8.0</v>
      </c>
      <c r="AG147" s="23">
        <v>4.0</v>
      </c>
      <c r="AH147" s="24">
        <v>0.0</v>
      </c>
      <c r="AI147" s="24">
        <v>4.0</v>
      </c>
      <c r="AJ147" s="23">
        <v>76.0</v>
      </c>
      <c r="AK147" s="24">
        <v>74.0</v>
      </c>
      <c r="AL147" s="23">
        <v>2.0</v>
      </c>
      <c r="AM147" s="64"/>
    </row>
    <row r="148" ht="15.75" customHeight="1">
      <c r="A148" s="25"/>
      <c r="B148" s="11">
        <v>46071.0</v>
      </c>
      <c r="C148" s="39" t="s">
        <v>92</v>
      </c>
      <c r="D148" s="12" t="s">
        <v>78</v>
      </c>
      <c r="E148" s="17" t="s">
        <v>60</v>
      </c>
      <c r="F148" s="17">
        <v>12.0</v>
      </c>
      <c r="G148" s="68" t="s">
        <v>24</v>
      </c>
      <c r="H148" s="17">
        <v>3.0</v>
      </c>
      <c r="I148" s="17" t="s">
        <v>45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4"/>
      <c r="X148" s="64"/>
      <c r="Y148" s="64"/>
      <c r="Z148" s="64"/>
      <c r="AA148" s="64"/>
      <c r="AB148" s="64"/>
      <c r="AC148" s="64"/>
      <c r="AD148" s="22">
        <v>5.0</v>
      </c>
      <c r="AE148" s="71" t="s">
        <v>45</v>
      </c>
      <c r="AF148" s="23">
        <v>6.0</v>
      </c>
      <c r="AG148" s="23">
        <v>3.0</v>
      </c>
      <c r="AH148" s="24">
        <v>0.0</v>
      </c>
      <c r="AI148" s="24">
        <v>5.0</v>
      </c>
      <c r="AJ148" s="23">
        <v>47.0</v>
      </c>
      <c r="AK148" s="24">
        <v>89.0</v>
      </c>
      <c r="AL148" s="23">
        <v>-42.0</v>
      </c>
      <c r="AM148" s="64"/>
    </row>
    <row r="149" ht="15.75" customHeight="1">
      <c r="A149" s="25"/>
      <c r="B149" s="11">
        <v>46071.0</v>
      </c>
      <c r="C149" s="39" t="s">
        <v>93</v>
      </c>
      <c r="D149" s="12" t="s">
        <v>78</v>
      </c>
      <c r="E149" s="17" t="s">
        <v>122</v>
      </c>
      <c r="F149" s="17">
        <v>20.0</v>
      </c>
      <c r="G149" s="68" t="s">
        <v>24</v>
      </c>
      <c r="H149" s="17">
        <v>18.0</v>
      </c>
      <c r="I149" s="17" t="s">
        <v>121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4"/>
      <c r="X149" s="64"/>
      <c r="Y149" s="64"/>
      <c r="Z149" s="64"/>
      <c r="AA149" s="64"/>
      <c r="AB149" s="64"/>
      <c r="AC149" s="64"/>
      <c r="AD149" s="22">
        <v>6.0</v>
      </c>
      <c r="AE149" s="71" t="s">
        <v>67</v>
      </c>
      <c r="AF149" s="23">
        <v>6.0</v>
      </c>
      <c r="AG149" s="23">
        <v>3.0</v>
      </c>
      <c r="AH149" s="24">
        <v>0.0</v>
      </c>
      <c r="AI149" s="24">
        <v>5.0</v>
      </c>
      <c r="AJ149" s="23">
        <v>74.0</v>
      </c>
      <c r="AK149" s="24">
        <v>77.0</v>
      </c>
      <c r="AL149" s="23">
        <v>-3.0</v>
      </c>
      <c r="AM149" s="64"/>
    </row>
    <row r="150" ht="15.75" customHeight="1">
      <c r="A150" s="29"/>
      <c r="B150" s="97"/>
      <c r="C150" s="93"/>
      <c r="D150" s="93"/>
      <c r="E150" s="17">
        <v>0.0</v>
      </c>
      <c r="F150" s="93"/>
      <c r="G150" s="68" t="s">
        <v>24</v>
      </c>
      <c r="H150" s="93"/>
      <c r="I150" s="17" t="s">
        <v>66</v>
      </c>
      <c r="J150" s="64"/>
      <c r="K150" s="4" t="str">
        <f t="shared" si="20"/>
        <v/>
      </c>
      <c r="L150" s="18" t="str">
        <f t="shared" si="21"/>
        <v/>
      </c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22">
        <v>7.0</v>
      </c>
      <c r="AE150" s="71" t="s">
        <v>68</v>
      </c>
      <c r="AF150" s="23">
        <v>6.0</v>
      </c>
      <c r="AG150" s="23">
        <v>3.0</v>
      </c>
      <c r="AH150" s="24">
        <v>0.0</v>
      </c>
      <c r="AI150" s="24">
        <v>5.0</v>
      </c>
      <c r="AJ150" s="23">
        <v>90.0</v>
      </c>
      <c r="AK150" s="24">
        <v>80.0</v>
      </c>
      <c r="AL150" s="23">
        <v>10.0</v>
      </c>
      <c r="AM150" s="64"/>
    </row>
    <row r="151" ht="15.75" customHeight="1">
      <c r="A151" s="10">
        <v>6.0</v>
      </c>
      <c r="B151" s="11">
        <v>46085.0</v>
      </c>
      <c r="C151" s="67" t="s">
        <v>52</v>
      </c>
      <c r="D151" s="39" t="s">
        <v>22</v>
      </c>
      <c r="E151" s="17" t="s">
        <v>120</v>
      </c>
      <c r="F151" s="17">
        <v>6.0</v>
      </c>
      <c r="G151" s="68" t="s">
        <v>24</v>
      </c>
      <c r="H151" s="17">
        <v>10.0</v>
      </c>
      <c r="I151" s="17" t="s">
        <v>122</v>
      </c>
      <c r="J151" s="64"/>
      <c r="K151" s="4">
        <f t="shared" si="20"/>
        <v>0</v>
      </c>
      <c r="L151" s="18">
        <f t="shared" si="21"/>
        <v>2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22">
        <v>8.0</v>
      </c>
      <c r="AE151" s="71" t="s">
        <v>121</v>
      </c>
      <c r="AF151" s="23">
        <v>4.0</v>
      </c>
      <c r="AG151" s="23">
        <v>2.0</v>
      </c>
      <c r="AH151" s="23">
        <v>0.0</v>
      </c>
      <c r="AI151" s="23">
        <v>6.0</v>
      </c>
      <c r="AJ151" s="23">
        <v>72.0</v>
      </c>
      <c r="AK151" s="23">
        <v>101.0</v>
      </c>
      <c r="AL151" s="23">
        <v>-29.0</v>
      </c>
      <c r="AM151" s="64"/>
    </row>
    <row r="152" ht="15.75" customHeight="1">
      <c r="A152" s="25"/>
      <c r="B152" s="11">
        <v>46085.0</v>
      </c>
      <c r="C152" s="67" t="s">
        <v>89</v>
      </c>
      <c r="D152" s="39" t="s">
        <v>22</v>
      </c>
      <c r="E152" s="17" t="s">
        <v>68</v>
      </c>
      <c r="F152" s="17">
        <v>9.0</v>
      </c>
      <c r="G152" s="68" t="s">
        <v>24</v>
      </c>
      <c r="H152" s="17">
        <v>12.0</v>
      </c>
      <c r="I152" s="17" t="s">
        <v>67</v>
      </c>
      <c r="J152" s="64"/>
      <c r="K152" s="4">
        <f t="shared" si="20"/>
        <v>0</v>
      </c>
      <c r="L152" s="18">
        <f t="shared" si="21"/>
        <v>2</v>
      </c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22">
        <v>9.0</v>
      </c>
      <c r="AE152" s="28" t="s">
        <v>120</v>
      </c>
      <c r="AF152" s="23">
        <v>2.0</v>
      </c>
      <c r="AG152" s="23">
        <v>1.0</v>
      </c>
      <c r="AH152" s="23">
        <v>0.0</v>
      </c>
      <c r="AI152" s="23">
        <v>7.0</v>
      </c>
      <c r="AJ152" s="23">
        <v>54.0</v>
      </c>
      <c r="AK152" s="23">
        <v>87.0</v>
      </c>
      <c r="AL152" s="23">
        <v>-33.0</v>
      </c>
      <c r="AM152" s="64"/>
    </row>
    <row r="153" ht="15.75" customHeight="1">
      <c r="A153" s="25"/>
      <c r="B153" s="11">
        <v>46085.0</v>
      </c>
      <c r="C153" s="67" t="s">
        <v>90</v>
      </c>
      <c r="D153" s="39" t="s">
        <v>22</v>
      </c>
      <c r="E153" s="17" t="s">
        <v>45</v>
      </c>
      <c r="F153" s="17">
        <v>6.0</v>
      </c>
      <c r="G153" s="68" t="s">
        <v>24</v>
      </c>
      <c r="H153" s="17">
        <v>15.0</v>
      </c>
      <c r="I153" s="17" t="s">
        <v>58</v>
      </c>
      <c r="J153" s="64"/>
      <c r="K153" s="4">
        <f t="shared" si="20"/>
        <v>0</v>
      </c>
      <c r="L153" s="18">
        <f t="shared" si="21"/>
        <v>2</v>
      </c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35" t="s">
        <v>124</v>
      </c>
      <c r="AG153" s="96"/>
      <c r="AH153" s="96"/>
      <c r="AI153" s="96"/>
      <c r="AJ153" s="96"/>
      <c r="AK153" s="96"/>
      <c r="AL153" s="96"/>
      <c r="AM153" s="64"/>
    </row>
    <row r="154" ht="15.75" customHeight="1">
      <c r="A154" s="25"/>
      <c r="B154" s="98"/>
      <c r="C154" s="101"/>
      <c r="D154" s="99"/>
      <c r="E154" s="17" t="s">
        <v>60</v>
      </c>
      <c r="F154" s="93"/>
      <c r="G154" s="68" t="s">
        <v>24</v>
      </c>
      <c r="H154" s="93"/>
      <c r="I154" s="17">
        <v>0.0</v>
      </c>
      <c r="J154" s="64"/>
      <c r="K154" s="4" t="str">
        <f t="shared" si="20"/>
        <v/>
      </c>
      <c r="L154" s="18" t="str">
        <f t="shared" si="21"/>
        <v/>
      </c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80" t="s">
        <v>96</v>
      </c>
      <c r="AG154" s="64"/>
      <c r="AH154" s="64"/>
      <c r="AI154" s="37"/>
      <c r="AJ154" s="37"/>
      <c r="AK154" s="37"/>
      <c r="AL154" s="37"/>
      <c r="AM154" s="64"/>
    </row>
    <row r="155" ht="15.75" customHeight="1">
      <c r="A155" s="29"/>
      <c r="B155" s="11">
        <v>46085.0</v>
      </c>
      <c r="C155" s="67" t="s">
        <v>84</v>
      </c>
      <c r="D155" s="39" t="s">
        <v>22</v>
      </c>
      <c r="E155" s="17" t="s">
        <v>121</v>
      </c>
      <c r="F155" s="17">
        <v>6.0</v>
      </c>
      <c r="G155" s="68" t="s">
        <v>24</v>
      </c>
      <c r="H155" s="17">
        <v>17.0</v>
      </c>
      <c r="I155" s="17" t="s">
        <v>66</v>
      </c>
      <c r="J155" s="64"/>
      <c r="K155" s="4">
        <f t="shared" si="20"/>
        <v>0</v>
      </c>
      <c r="L155" s="18">
        <f t="shared" si="21"/>
        <v>2</v>
      </c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37"/>
      <c r="AE155" s="37"/>
      <c r="AF155" s="37"/>
      <c r="AG155" s="37"/>
      <c r="AH155" s="37"/>
      <c r="AI155" s="37"/>
      <c r="AJ155" s="37"/>
      <c r="AK155" s="37"/>
      <c r="AL155" s="37"/>
      <c r="AM155" s="64"/>
    </row>
    <row r="156" ht="15.75" customHeight="1">
      <c r="A156" s="10">
        <v>7.0</v>
      </c>
      <c r="B156" s="11">
        <v>46085.0</v>
      </c>
      <c r="C156" s="67" t="s">
        <v>86</v>
      </c>
      <c r="D156" s="39" t="s">
        <v>22</v>
      </c>
      <c r="E156" s="17" t="s">
        <v>66</v>
      </c>
      <c r="F156" s="17">
        <v>15.0</v>
      </c>
      <c r="G156" s="68" t="s">
        <v>24</v>
      </c>
      <c r="H156" s="17">
        <v>9.0</v>
      </c>
      <c r="I156" s="17" t="s">
        <v>120</v>
      </c>
      <c r="J156" s="64"/>
      <c r="K156" s="4">
        <f t="shared" si="20"/>
        <v>2</v>
      </c>
      <c r="L156" s="18">
        <f t="shared" si="21"/>
        <v>0</v>
      </c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37"/>
      <c r="AE156" s="37"/>
      <c r="AF156" s="37"/>
      <c r="AG156" s="37"/>
      <c r="AH156" s="37"/>
      <c r="AI156" s="37"/>
      <c r="AJ156" s="37"/>
      <c r="AK156" s="37"/>
      <c r="AL156" s="37"/>
      <c r="AM156" s="64"/>
    </row>
    <row r="157" ht="15.75" customHeight="1">
      <c r="A157" s="25"/>
      <c r="B157" s="11">
        <v>46085.0</v>
      </c>
      <c r="C157" s="67" t="s">
        <v>53</v>
      </c>
      <c r="D157" s="39" t="s">
        <v>22</v>
      </c>
      <c r="E157" s="17" t="s">
        <v>122</v>
      </c>
      <c r="F157" s="17">
        <v>12.0</v>
      </c>
      <c r="G157" s="68" t="s">
        <v>24</v>
      </c>
      <c r="H157" s="17">
        <v>9.0</v>
      </c>
      <c r="I157" s="17" t="s">
        <v>68</v>
      </c>
      <c r="J157" s="64"/>
      <c r="K157" s="4">
        <f t="shared" si="20"/>
        <v>2</v>
      </c>
      <c r="L157" s="18">
        <f t="shared" si="21"/>
        <v>0</v>
      </c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37"/>
      <c r="AE157" s="37"/>
      <c r="AF157" s="37"/>
      <c r="AG157" s="37"/>
      <c r="AH157" s="37"/>
      <c r="AI157" s="37"/>
      <c r="AJ157" s="37"/>
      <c r="AK157" s="37"/>
      <c r="AL157" s="37"/>
      <c r="AM157" s="64"/>
    </row>
    <row r="158" ht="15.75" customHeight="1">
      <c r="A158" s="25"/>
      <c r="B158" s="11">
        <v>46085.0</v>
      </c>
      <c r="C158" s="67" t="s">
        <v>92</v>
      </c>
      <c r="D158" s="39" t="s">
        <v>22</v>
      </c>
      <c r="E158" s="17" t="s">
        <v>67</v>
      </c>
      <c r="F158" s="17">
        <v>4.0</v>
      </c>
      <c r="G158" s="68" t="s">
        <v>24</v>
      </c>
      <c r="H158" s="17">
        <v>6.0</v>
      </c>
      <c r="I158" s="17" t="s">
        <v>45</v>
      </c>
      <c r="J158" s="64"/>
      <c r="K158" s="4">
        <f t="shared" si="20"/>
        <v>0</v>
      </c>
      <c r="L158" s="18">
        <f t="shared" si="21"/>
        <v>2</v>
      </c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37"/>
      <c r="AE158" s="37"/>
      <c r="AF158" s="37"/>
      <c r="AG158" s="37"/>
      <c r="AH158" s="37"/>
      <c r="AI158" s="37"/>
      <c r="AJ158" s="37"/>
      <c r="AK158" s="37"/>
      <c r="AL158" s="37"/>
      <c r="AM158" s="64"/>
    </row>
    <row r="159" ht="15.75" customHeight="1">
      <c r="A159" s="25"/>
      <c r="B159" s="11">
        <v>46085.0</v>
      </c>
      <c r="C159" s="67" t="s">
        <v>93</v>
      </c>
      <c r="D159" s="39" t="s">
        <v>22</v>
      </c>
      <c r="E159" s="17" t="s">
        <v>58</v>
      </c>
      <c r="F159" s="17">
        <v>10.0</v>
      </c>
      <c r="G159" s="68" t="s">
        <v>24</v>
      </c>
      <c r="H159" s="17">
        <v>9.0</v>
      </c>
      <c r="I159" s="17" t="s">
        <v>60</v>
      </c>
      <c r="J159" s="64"/>
      <c r="K159" s="4">
        <f t="shared" si="20"/>
        <v>2</v>
      </c>
      <c r="L159" s="18">
        <f t="shared" si="21"/>
        <v>0</v>
      </c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37"/>
      <c r="AE159" s="37"/>
      <c r="AF159" s="37"/>
      <c r="AG159" s="37"/>
      <c r="AH159" s="37"/>
      <c r="AI159" s="37"/>
      <c r="AJ159" s="37"/>
      <c r="AK159" s="37"/>
      <c r="AL159" s="37"/>
      <c r="AM159" s="64"/>
    </row>
    <row r="160" ht="15.75" customHeight="1">
      <c r="A160" s="29"/>
      <c r="B160" s="97"/>
      <c r="C160" s="68"/>
      <c r="D160" s="68"/>
      <c r="E160" s="17">
        <v>0.0</v>
      </c>
      <c r="F160" s="93"/>
      <c r="G160" s="68" t="s">
        <v>24</v>
      </c>
      <c r="H160" s="93"/>
      <c r="I160" s="17" t="s">
        <v>121</v>
      </c>
      <c r="J160" s="64"/>
      <c r="K160" s="4" t="str">
        <f t="shared" si="20"/>
        <v/>
      </c>
      <c r="L160" s="18" t="str">
        <f t="shared" si="21"/>
        <v/>
      </c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37"/>
      <c r="AE160" s="37"/>
      <c r="AF160" s="37"/>
      <c r="AG160" s="37"/>
      <c r="AH160" s="37"/>
      <c r="AI160" s="37"/>
      <c r="AJ160" s="37"/>
      <c r="AK160" s="37"/>
      <c r="AL160" s="37"/>
      <c r="AM160" s="64"/>
    </row>
    <row r="161" ht="15.75" customHeight="1">
      <c r="A161" s="10">
        <v>8.0</v>
      </c>
      <c r="B161" s="100">
        <v>46155.0</v>
      </c>
      <c r="C161" s="67" t="s">
        <v>101</v>
      </c>
      <c r="D161" s="67" t="s">
        <v>22</v>
      </c>
      <c r="E161" s="17" t="s">
        <v>120</v>
      </c>
      <c r="F161" s="17">
        <v>9.0</v>
      </c>
      <c r="G161" s="68" t="s">
        <v>24</v>
      </c>
      <c r="H161" s="17">
        <v>11.0</v>
      </c>
      <c r="I161" s="17" t="s">
        <v>121</v>
      </c>
      <c r="J161" s="64"/>
      <c r="K161" s="4">
        <f t="shared" si="20"/>
        <v>0</v>
      </c>
      <c r="L161" s="18">
        <f t="shared" si="21"/>
        <v>2</v>
      </c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37"/>
      <c r="AE161" s="37"/>
      <c r="AF161" s="37"/>
      <c r="AG161" s="37"/>
      <c r="AH161" s="37"/>
      <c r="AI161" s="37"/>
      <c r="AJ161" s="37"/>
      <c r="AK161" s="37"/>
      <c r="AL161" s="37"/>
      <c r="AM161" s="64"/>
    </row>
    <row r="162" ht="15.75" customHeight="1">
      <c r="A162" s="25"/>
      <c r="B162" s="100">
        <v>46155.0</v>
      </c>
      <c r="C162" s="67" t="s">
        <v>111</v>
      </c>
      <c r="D162" s="67" t="s">
        <v>22</v>
      </c>
      <c r="E162" s="17" t="s">
        <v>68</v>
      </c>
      <c r="F162" s="17">
        <v>12.0</v>
      </c>
      <c r="G162" s="68" t="s">
        <v>24</v>
      </c>
      <c r="H162" s="17">
        <v>14.0</v>
      </c>
      <c r="I162" s="17" t="s">
        <v>66</v>
      </c>
      <c r="J162" s="64"/>
      <c r="K162" s="4">
        <f t="shared" si="20"/>
        <v>0</v>
      </c>
      <c r="L162" s="18">
        <f t="shared" si="21"/>
        <v>2</v>
      </c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4"/>
      <c r="AG162" s="37"/>
      <c r="AI162" s="37"/>
      <c r="AJ162" s="37"/>
      <c r="AK162" s="37"/>
      <c r="AL162" s="37"/>
      <c r="AM162" s="64"/>
    </row>
    <row r="163" ht="15.75" customHeight="1">
      <c r="A163" s="25"/>
      <c r="B163" s="100">
        <v>46155.0</v>
      </c>
      <c r="C163" s="67" t="s">
        <v>112</v>
      </c>
      <c r="D163" s="67" t="s">
        <v>22</v>
      </c>
      <c r="E163" s="17" t="s">
        <v>45</v>
      </c>
      <c r="F163" s="17">
        <v>7.0</v>
      </c>
      <c r="G163" s="68" t="s">
        <v>24</v>
      </c>
      <c r="H163" s="17">
        <v>15.0</v>
      </c>
      <c r="I163" s="17" t="s">
        <v>122</v>
      </c>
      <c r="J163" s="64"/>
      <c r="K163" s="4">
        <f t="shared" si="20"/>
        <v>0</v>
      </c>
      <c r="L163" s="18">
        <f t="shared" si="21"/>
        <v>2</v>
      </c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I163" s="37"/>
      <c r="AJ163" s="37"/>
      <c r="AK163" s="37"/>
      <c r="AL163" s="37"/>
      <c r="AM163" s="64"/>
    </row>
    <row r="164" ht="15.75" customHeight="1">
      <c r="A164" s="25"/>
      <c r="B164" s="100">
        <v>46155.0</v>
      </c>
      <c r="C164" s="67" t="s">
        <v>113</v>
      </c>
      <c r="D164" s="67" t="s">
        <v>22</v>
      </c>
      <c r="E164" s="17" t="s">
        <v>60</v>
      </c>
      <c r="F164" s="17">
        <v>7.0</v>
      </c>
      <c r="G164" s="68" t="s">
        <v>24</v>
      </c>
      <c r="H164" s="17">
        <v>6.0</v>
      </c>
      <c r="I164" s="17" t="s">
        <v>67</v>
      </c>
      <c r="J164" s="64"/>
      <c r="K164" s="4">
        <f t="shared" si="20"/>
        <v>2</v>
      </c>
      <c r="L164" s="18">
        <f t="shared" si="21"/>
        <v>0</v>
      </c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I164" s="37"/>
      <c r="AJ164" s="37"/>
      <c r="AK164" s="37"/>
      <c r="AL164" s="37"/>
      <c r="AM164" s="64"/>
    </row>
    <row r="165" ht="15.75" customHeight="1">
      <c r="A165" s="29"/>
      <c r="B165" s="97"/>
      <c r="C165" s="68"/>
      <c r="D165" s="68"/>
      <c r="E165" s="17" t="s">
        <v>58</v>
      </c>
      <c r="F165" s="93"/>
      <c r="G165" s="68" t="s">
        <v>24</v>
      </c>
      <c r="H165" s="93"/>
      <c r="I165" s="17">
        <v>0.0</v>
      </c>
      <c r="J165" s="64"/>
      <c r="K165" s="4" t="str">
        <f t="shared" si="20"/>
        <v/>
      </c>
      <c r="L165" s="18" t="str">
        <f t="shared" si="21"/>
        <v/>
      </c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I165" s="37"/>
      <c r="AJ165" s="37"/>
      <c r="AK165" s="37"/>
      <c r="AL165" s="37"/>
      <c r="AM165" s="64"/>
    </row>
    <row r="166" ht="15.75" customHeight="1">
      <c r="A166" s="10">
        <v>9.0</v>
      </c>
      <c r="B166" s="97"/>
      <c r="C166" s="68"/>
      <c r="D166" s="68"/>
      <c r="E166" s="17">
        <v>0.0</v>
      </c>
      <c r="F166" s="93"/>
      <c r="G166" s="68" t="s">
        <v>24</v>
      </c>
      <c r="H166" s="93"/>
      <c r="I166" s="17" t="s">
        <v>120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I166" s="37"/>
      <c r="AJ166" s="37"/>
      <c r="AK166" s="37"/>
      <c r="AL166" s="37"/>
      <c r="AM166" s="64"/>
    </row>
    <row r="167" ht="15.75" customHeight="1">
      <c r="A167" s="25"/>
      <c r="B167" s="100">
        <v>46155.0</v>
      </c>
      <c r="C167" s="67" t="s">
        <v>114</v>
      </c>
      <c r="D167" s="67" t="s">
        <v>22</v>
      </c>
      <c r="E167" s="17" t="s">
        <v>121</v>
      </c>
      <c r="F167" s="17">
        <v>5.0</v>
      </c>
      <c r="G167" s="68" t="s">
        <v>24</v>
      </c>
      <c r="H167" s="17">
        <v>16.0</v>
      </c>
      <c r="I167" s="17" t="s">
        <v>68</v>
      </c>
      <c r="J167" s="64"/>
      <c r="K167" s="4">
        <f t="shared" si="20"/>
        <v>0</v>
      </c>
      <c r="L167" s="18">
        <f t="shared" si="21"/>
        <v>2</v>
      </c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I167" s="37"/>
      <c r="AJ167" s="37"/>
      <c r="AK167" s="37"/>
      <c r="AL167" s="37"/>
      <c r="AM167" s="64"/>
    </row>
    <row r="168" ht="15.75" customHeight="1">
      <c r="A168" s="25"/>
      <c r="B168" s="100">
        <v>46155.0</v>
      </c>
      <c r="C168" s="67" t="s">
        <v>115</v>
      </c>
      <c r="D168" s="67" t="s">
        <v>22</v>
      </c>
      <c r="E168" s="17" t="s">
        <v>66</v>
      </c>
      <c r="F168" s="17">
        <v>21.0</v>
      </c>
      <c r="G168" s="68" t="s">
        <v>24</v>
      </c>
      <c r="H168" s="17">
        <v>0.0</v>
      </c>
      <c r="I168" s="17" t="s">
        <v>45</v>
      </c>
      <c r="J168" s="64"/>
      <c r="K168" s="4">
        <f t="shared" si="20"/>
        <v>2</v>
      </c>
      <c r="L168" s="18">
        <f t="shared" si="21"/>
        <v>0</v>
      </c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I168" s="37"/>
      <c r="AJ168" s="37"/>
      <c r="AK168" s="37"/>
      <c r="AL168" s="37"/>
      <c r="AM168" s="64"/>
    </row>
    <row r="169" ht="15.75" customHeight="1">
      <c r="A169" s="25"/>
      <c r="B169" s="100">
        <v>46155.0</v>
      </c>
      <c r="C169" s="67" t="s">
        <v>116</v>
      </c>
      <c r="D169" s="67" t="s">
        <v>22</v>
      </c>
      <c r="E169" s="17" t="s">
        <v>122</v>
      </c>
      <c r="F169" s="17">
        <v>16.0</v>
      </c>
      <c r="G169" s="68" t="s">
        <v>24</v>
      </c>
      <c r="H169" s="17">
        <v>9.0</v>
      </c>
      <c r="I169" s="17" t="s">
        <v>60</v>
      </c>
      <c r="J169" s="64"/>
      <c r="K169" s="4">
        <f t="shared" si="20"/>
        <v>2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I169" s="37"/>
      <c r="AJ169" s="37"/>
      <c r="AK169" s="37"/>
      <c r="AL169" s="37"/>
      <c r="AM169" s="64"/>
    </row>
    <row r="170" ht="15.75" customHeight="1">
      <c r="A170" s="29"/>
      <c r="B170" s="100">
        <v>46155.0</v>
      </c>
      <c r="C170" s="67" t="s">
        <v>117</v>
      </c>
      <c r="D170" s="67" t="s">
        <v>22</v>
      </c>
      <c r="E170" s="17" t="s">
        <v>67</v>
      </c>
      <c r="F170" s="17">
        <v>11.0</v>
      </c>
      <c r="G170" s="68" t="s">
        <v>24</v>
      </c>
      <c r="H170" s="17">
        <v>15.0</v>
      </c>
      <c r="I170" s="17" t="s">
        <v>58</v>
      </c>
      <c r="J170" s="64"/>
      <c r="K170" s="4">
        <f t="shared" si="20"/>
        <v>0</v>
      </c>
      <c r="L170" s="18">
        <f t="shared" si="21"/>
        <v>2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37"/>
      <c r="AE170" s="37"/>
      <c r="AF170" s="37"/>
      <c r="AG170" s="37"/>
      <c r="AH170" s="37"/>
      <c r="AI170" s="37"/>
      <c r="AJ170" s="37"/>
      <c r="AK170" s="37"/>
      <c r="AL170" s="37"/>
      <c r="AM170" s="64"/>
    </row>
    <row r="171" ht="15.75" customHeight="1">
      <c r="A171" s="102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37"/>
      <c r="AE171" s="37"/>
      <c r="AF171" s="37"/>
      <c r="AG171" s="37"/>
      <c r="AH171" s="37"/>
      <c r="AI171" s="37"/>
      <c r="AJ171" s="37"/>
      <c r="AK171" s="37"/>
      <c r="AL171" s="37"/>
      <c r="AM171" s="64"/>
    </row>
    <row r="172" ht="15.75" customHeight="1">
      <c r="A172" s="102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37"/>
      <c r="AE172" s="37"/>
      <c r="AF172" s="37"/>
      <c r="AG172" s="37"/>
      <c r="AH172" s="37"/>
      <c r="AI172" s="37"/>
      <c r="AJ172" s="37"/>
      <c r="AK172" s="37"/>
      <c r="AL172" s="37"/>
      <c r="AM172" s="64"/>
    </row>
    <row r="173" ht="15.75" customHeight="1">
      <c r="A173" s="102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64"/>
    </row>
    <row r="174" ht="15.75" customHeight="1">
      <c r="A174" s="102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64"/>
    </row>
    <row r="175" ht="15.75" customHeight="1">
      <c r="A175" s="1" t="s">
        <v>125</v>
      </c>
      <c r="H175" s="2"/>
      <c r="I175" s="3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6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81</v>
      </c>
      <c r="U176" s="9" t="s">
        <v>82</v>
      </c>
      <c r="V176" s="9" t="s">
        <v>83</v>
      </c>
      <c r="W176" s="64"/>
      <c r="X176" s="64"/>
      <c r="Y176" s="64"/>
      <c r="Z176" s="64"/>
      <c r="AA176" s="64"/>
      <c r="AB176" s="64"/>
      <c r="AC176" s="64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81</v>
      </c>
      <c r="AK176" s="5" t="s">
        <v>82</v>
      </c>
      <c r="AL176" s="5" t="s">
        <v>83</v>
      </c>
      <c r="AM176" s="64"/>
    </row>
    <row r="177" ht="15.75" customHeight="1">
      <c r="A177" s="103">
        <v>1.0</v>
      </c>
      <c r="B177" s="60">
        <v>46167.0</v>
      </c>
      <c r="C177" s="12" t="s">
        <v>55</v>
      </c>
      <c r="D177" s="12" t="s">
        <v>78</v>
      </c>
      <c r="E177" s="45" t="s">
        <v>85</v>
      </c>
      <c r="F177" s="13">
        <v>11.0</v>
      </c>
      <c r="G177" s="16" t="s">
        <v>24</v>
      </c>
      <c r="H177" s="13">
        <v>12.0</v>
      </c>
      <c r="I177" s="45" t="s">
        <v>102</v>
      </c>
      <c r="J177" s="4"/>
      <c r="K177" s="4">
        <f t="shared" ref="K177:K179" si="29">IF(F177="","",IFS(F177&gt;H177,2,F177=H177,1,H177&gt;F177,0,F177="",0))</f>
        <v>0</v>
      </c>
      <c r="L177" s="18">
        <f t="shared" ref="L177:L179" si="30">IF(H177="","",IFS(F177&lt;H177,2,F177=H177,1,H177&lt;F177,0))</f>
        <v>2</v>
      </c>
      <c r="M177" s="4"/>
      <c r="N177" s="18">
        <v>1.0</v>
      </c>
      <c r="O177" s="78" t="s">
        <v>85</v>
      </c>
      <c r="P177" s="18">
        <f t="shared" ref="P177:P179" si="31">SUMIF(E$177:E$179,O177,K$177:K$179)+SUMIF(I$177:I$179,O177,L$177:L$179)</f>
        <v>2</v>
      </c>
      <c r="Q177" s="18">
        <f t="shared" ref="Q177:Q179" si="32">COUNTIFS(E$177:E$179,O177,K$177:K$179,2)+COUNTIFS(I$177:I$179,O177,L$177:L$179,2)</f>
        <v>1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1</v>
      </c>
      <c r="T177" s="18">
        <f t="shared" ref="T177:T179" si="35">SUMIF(E$177:E$179,O177,F$177:F$179)+SUMIF(I$177:I$179,O177,H$177:H$179)</f>
        <v>22</v>
      </c>
      <c r="U177" s="20">
        <f t="shared" ref="U177:U179" si="36">SUMIF(E$177:E$179,O177,H$177:H$179)+SUMIF(I$177:I$179,O177,F$177:F$179)</f>
        <v>22</v>
      </c>
      <c r="V177" s="18">
        <f t="shared" ref="V177:V179" si="37">T177-U177</f>
        <v>0</v>
      </c>
      <c r="W177" s="64"/>
      <c r="X177" s="64"/>
      <c r="Y177" s="64"/>
      <c r="Z177" s="64"/>
      <c r="AA177" s="64"/>
      <c r="AB177" s="64"/>
      <c r="AC177" s="64"/>
      <c r="AD177" s="104">
        <v>1.0</v>
      </c>
      <c r="AE177" s="71" t="str">
        <f t="array" ref="AE177:AM179">SORT(O177:X179,2,FALSE,9,FALSE,8,FALSE())</f>
        <v>Contabilidade</v>
      </c>
      <c r="AF177" s="23">
        <v>4.0</v>
      </c>
      <c r="AG177" s="23">
        <v>2.0</v>
      </c>
      <c r="AH177" s="24">
        <v>0.0</v>
      </c>
      <c r="AI177" s="24">
        <v>0.0</v>
      </c>
      <c r="AJ177" s="23">
        <v>26.0</v>
      </c>
      <c r="AK177" s="24">
        <v>24.0</v>
      </c>
      <c r="AL177" s="23">
        <v>2.0</v>
      </c>
      <c r="AM177" s="64"/>
    </row>
    <row r="178" ht="15.75" customHeight="1">
      <c r="A178" s="103">
        <v>2.0</v>
      </c>
      <c r="B178" s="60">
        <v>46167.0</v>
      </c>
      <c r="C178" s="12" t="s">
        <v>74</v>
      </c>
      <c r="D178" s="12" t="s">
        <v>78</v>
      </c>
      <c r="E178" s="45" t="s">
        <v>102</v>
      </c>
      <c r="F178" s="13">
        <v>14.0</v>
      </c>
      <c r="G178" s="16" t="s">
        <v>24</v>
      </c>
      <c r="H178" s="13">
        <v>13.0</v>
      </c>
      <c r="I178" s="45" t="s">
        <v>58</v>
      </c>
      <c r="J178" s="4"/>
      <c r="K178" s="4">
        <f t="shared" si="29"/>
        <v>2</v>
      </c>
      <c r="L178" s="18">
        <f t="shared" si="30"/>
        <v>0</v>
      </c>
      <c r="M178" s="4"/>
      <c r="N178" s="18">
        <v>2.0</v>
      </c>
      <c r="O178" s="78" t="s">
        <v>102</v>
      </c>
      <c r="P178" s="18">
        <f t="shared" si="31"/>
        <v>4</v>
      </c>
      <c r="Q178" s="18">
        <f t="shared" si="32"/>
        <v>2</v>
      </c>
      <c r="R178" s="20">
        <f t="shared" si="33"/>
        <v>0</v>
      </c>
      <c r="S178" s="20">
        <f t="shared" si="34"/>
        <v>0</v>
      </c>
      <c r="T178" s="18">
        <f t="shared" si="35"/>
        <v>26</v>
      </c>
      <c r="U178" s="20">
        <f t="shared" si="36"/>
        <v>24</v>
      </c>
      <c r="V178" s="18">
        <f t="shared" si="37"/>
        <v>2</v>
      </c>
      <c r="W178" s="64"/>
      <c r="X178" s="64"/>
      <c r="Y178" s="64"/>
      <c r="Z178" s="64"/>
      <c r="AA178" s="64"/>
      <c r="AB178" s="64"/>
      <c r="AC178" s="64"/>
      <c r="AD178" s="104">
        <v>2.0</v>
      </c>
      <c r="AE178" s="71" t="s">
        <v>85</v>
      </c>
      <c r="AF178" s="23">
        <v>2.0</v>
      </c>
      <c r="AG178" s="23">
        <v>1.0</v>
      </c>
      <c r="AH178" s="24">
        <v>0.0</v>
      </c>
      <c r="AI178" s="24">
        <v>1.0</v>
      </c>
      <c r="AJ178" s="23">
        <v>22.0</v>
      </c>
      <c r="AK178" s="24">
        <v>22.0</v>
      </c>
      <c r="AL178" s="23">
        <v>0.0</v>
      </c>
      <c r="AM178" s="64"/>
    </row>
    <row r="179" ht="15.75" customHeight="1">
      <c r="A179" s="103">
        <v>3.0</v>
      </c>
      <c r="B179" s="60">
        <v>46167.0</v>
      </c>
      <c r="C179" s="12" t="s">
        <v>52</v>
      </c>
      <c r="D179" s="12" t="s">
        <v>78</v>
      </c>
      <c r="E179" s="45" t="s">
        <v>58</v>
      </c>
      <c r="F179" s="13">
        <v>10.0</v>
      </c>
      <c r="G179" s="16" t="s">
        <v>24</v>
      </c>
      <c r="H179" s="13">
        <v>11.0</v>
      </c>
      <c r="I179" s="45" t="s">
        <v>85</v>
      </c>
      <c r="J179" s="4"/>
      <c r="K179" s="4">
        <f t="shared" si="29"/>
        <v>0</v>
      </c>
      <c r="L179" s="18">
        <f t="shared" si="30"/>
        <v>2</v>
      </c>
      <c r="M179" s="4"/>
      <c r="N179" s="18">
        <v>3.0</v>
      </c>
      <c r="O179" s="78" t="s">
        <v>58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2</v>
      </c>
      <c r="T179" s="18">
        <f t="shared" si="35"/>
        <v>23</v>
      </c>
      <c r="U179" s="20">
        <f t="shared" si="36"/>
        <v>25</v>
      </c>
      <c r="V179" s="18">
        <f t="shared" si="37"/>
        <v>-2</v>
      </c>
      <c r="W179" s="64"/>
      <c r="X179" s="64"/>
      <c r="Y179" s="64"/>
      <c r="Z179" s="64"/>
      <c r="AA179" s="64"/>
      <c r="AB179" s="64"/>
      <c r="AC179" s="64"/>
      <c r="AD179" s="22">
        <v>3.0</v>
      </c>
      <c r="AE179" s="71" t="s">
        <v>58</v>
      </c>
      <c r="AF179" s="23">
        <v>0.0</v>
      </c>
      <c r="AG179" s="23">
        <v>0.0</v>
      </c>
      <c r="AH179" s="24">
        <v>0.0</v>
      </c>
      <c r="AI179" s="24">
        <v>2.0</v>
      </c>
      <c r="AJ179" s="23">
        <v>23.0</v>
      </c>
      <c r="AK179" s="24">
        <v>25.0</v>
      </c>
      <c r="AL179" s="23">
        <v>-2.0</v>
      </c>
      <c r="AM179" s="64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18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4"/>
      <c r="AG180" s="37"/>
      <c r="AI180" s="37"/>
      <c r="AJ180" s="37"/>
      <c r="AK180" s="37"/>
      <c r="AL180" s="37"/>
      <c r="AM180" s="64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I181" s="37"/>
      <c r="AJ181" s="37"/>
      <c r="AK181" s="37"/>
      <c r="AL181" s="37"/>
      <c r="AM181" s="64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I182" s="37"/>
      <c r="AJ182" s="37"/>
      <c r="AK182" s="37"/>
      <c r="AL182" s="37"/>
      <c r="AM182" s="64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I183" s="37"/>
      <c r="AJ183" s="37"/>
      <c r="AK183" s="37"/>
      <c r="AL183" s="37"/>
      <c r="AM183" s="64"/>
    </row>
    <row r="184" ht="15.75" customHeight="1">
      <c r="A184" s="1" t="s">
        <v>126</v>
      </c>
      <c r="H184" s="2"/>
      <c r="I184" s="3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I184" s="37"/>
      <c r="AJ184" s="37"/>
      <c r="AK184" s="37"/>
      <c r="AL184" s="37"/>
      <c r="AM184" s="64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I185" s="37"/>
      <c r="AJ185" s="37"/>
      <c r="AK185" s="37"/>
      <c r="AL185" s="37"/>
      <c r="AM185" s="64"/>
    </row>
    <row r="186" ht="15.75" customHeight="1">
      <c r="A186" s="58" t="s">
        <v>72</v>
      </c>
      <c r="B186" s="60">
        <v>46168.0</v>
      </c>
      <c r="C186" s="12" t="s">
        <v>52</v>
      </c>
      <c r="D186" s="12" t="s">
        <v>78</v>
      </c>
      <c r="E186" s="45" t="s">
        <v>32</v>
      </c>
      <c r="F186" s="13">
        <v>11.0</v>
      </c>
      <c r="G186" s="16" t="s">
        <v>24</v>
      </c>
      <c r="H186" s="13">
        <v>8.0</v>
      </c>
      <c r="I186" s="45" t="s">
        <v>66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I186" s="37"/>
      <c r="AJ186" s="37"/>
      <c r="AK186" s="37"/>
      <c r="AL186" s="37"/>
      <c r="AM186" s="64"/>
    </row>
    <row r="187" ht="15.75" customHeight="1">
      <c r="A187" s="25"/>
      <c r="B187" s="60">
        <v>46168.0</v>
      </c>
      <c r="C187" s="12" t="s">
        <v>75</v>
      </c>
      <c r="D187" s="12" t="s">
        <v>78</v>
      </c>
      <c r="E187" s="45" t="s">
        <v>33</v>
      </c>
      <c r="F187" s="13">
        <v>18.0</v>
      </c>
      <c r="G187" s="16" t="s">
        <v>24</v>
      </c>
      <c r="H187" s="13">
        <v>9.0</v>
      </c>
      <c r="I187" s="45" t="s">
        <v>31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I187" s="37"/>
      <c r="AJ187" s="37"/>
      <c r="AK187" s="37"/>
      <c r="AL187" s="37"/>
      <c r="AM187" s="64"/>
    </row>
    <row r="188" ht="15.75" customHeight="1">
      <c r="A188" s="25"/>
      <c r="B188" s="60">
        <v>46168.0</v>
      </c>
      <c r="C188" s="12" t="s">
        <v>53</v>
      </c>
      <c r="D188" s="12" t="s">
        <v>78</v>
      </c>
      <c r="E188" s="45" t="s">
        <v>36</v>
      </c>
      <c r="F188" s="13">
        <v>19.0</v>
      </c>
      <c r="G188" s="16" t="s">
        <v>24</v>
      </c>
      <c r="H188" s="13">
        <v>15.0</v>
      </c>
      <c r="I188" s="45" t="s">
        <v>43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64"/>
    </row>
    <row r="189" ht="15.75" customHeight="1">
      <c r="A189" s="29"/>
      <c r="B189" s="60">
        <v>46168.0</v>
      </c>
      <c r="C189" s="12" t="s">
        <v>127</v>
      </c>
      <c r="D189" s="12" t="s">
        <v>78</v>
      </c>
      <c r="E189" s="45" t="s">
        <v>39</v>
      </c>
      <c r="F189" s="13">
        <v>11.0</v>
      </c>
      <c r="G189" s="16" t="s">
        <v>24</v>
      </c>
      <c r="H189" s="13">
        <v>13.0</v>
      </c>
      <c r="I189" s="45" t="s">
        <v>25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64"/>
    </row>
    <row r="190" ht="15.75" customHeight="1">
      <c r="A190" s="59" t="s">
        <v>73</v>
      </c>
      <c r="B190" s="44">
        <v>46170.0</v>
      </c>
      <c r="C190" s="12" t="s">
        <v>128</v>
      </c>
      <c r="D190" s="12" t="s">
        <v>78</v>
      </c>
      <c r="E190" s="45" t="s">
        <v>32</v>
      </c>
      <c r="F190" s="13">
        <v>14.0</v>
      </c>
      <c r="G190" s="16" t="s">
        <v>24</v>
      </c>
      <c r="H190" s="13">
        <v>9.0</v>
      </c>
      <c r="I190" s="45" t="s">
        <v>25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37"/>
      <c r="AE190" s="37"/>
      <c r="AF190" s="37"/>
      <c r="AG190" s="37"/>
      <c r="AH190" s="37"/>
      <c r="AI190" s="37"/>
      <c r="AJ190" s="37"/>
      <c r="AK190" s="37"/>
      <c r="AL190" s="37"/>
      <c r="AM190" s="64"/>
    </row>
    <row r="191" ht="15.75" customHeight="1">
      <c r="A191" s="25"/>
      <c r="B191" s="44">
        <v>46170.0</v>
      </c>
      <c r="C191" s="12" t="s">
        <v>55</v>
      </c>
      <c r="D191" s="12" t="s">
        <v>78</v>
      </c>
      <c r="E191" s="52" t="s">
        <v>33</v>
      </c>
      <c r="F191" s="13">
        <v>19.0</v>
      </c>
      <c r="G191" s="16" t="s">
        <v>24</v>
      </c>
      <c r="H191" s="13">
        <v>13.0</v>
      </c>
      <c r="I191" s="45" t="s">
        <v>36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37"/>
      <c r="AE191" s="37"/>
      <c r="AF191" s="37"/>
      <c r="AG191" s="37"/>
      <c r="AH191" s="37"/>
      <c r="AI191" s="37"/>
      <c r="AJ191" s="37"/>
      <c r="AK191" s="37"/>
      <c r="AL191" s="37"/>
      <c r="AM191" s="64"/>
    </row>
    <row r="192" ht="15.75" customHeight="1">
      <c r="A192" s="61" t="s">
        <v>76</v>
      </c>
      <c r="B192" s="11">
        <v>46170.0</v>
      </c>
      <c r="C192" s="12" t="s">
        <v>74</v>
      </c>
      <c r="D192" s="12" t="s">
        <v>78</v>
      </c>
      <c r="E192" s="45" t="s">
        <v>25</v>
      </c>
      <c r="F192" s="13">
        <v>7.0</v>
      </c>
      <c r="G192" s="16" t="s">
        <v>24</v>
      </c>
      <c r="H192" s="13">
        <v>11.0</v>
      </c>
      <c r="I192" s="62" t="s">
        <v>36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37"/>
      <c r="AE192" s="37"/>
      <c r="AF192" s="37"/>
      <c r="AG192" s="37"/>
      <c r="AH192" s="37"/>
      <c r="AI192" s="37"/>
      <c r="AJ192" s="37"/>
      <c r="AK192" s="37"/>
      <c r="AL192" s="37"/>
      <c r="AM192" s="64"/>
    </row>
    <row r="193" ht="15.75" customHeight="1">
      <c r="A193" s="61" t="s">
        <v>79</v>
      </c>
      <c r="B193" s="11">
        <v>46170.0</v>
      </c>
      <c r="C193" s="12" t="s">
        <v>75</v>
      </c>
      <c r="D193" s="12" t="s">
        <v>78</v>
      </c>
      <c r="E193" s="45" t="s">
        <v>32</v>
      </c>
      <c r="F193" s="13">
        <v>13.0</v>
      </c>
      <c r="G193" s="16" t="s">
        <v>24</v>
      </c>
      <c r="H193" s="13">
        <v>20.0</v>
      </c>
      <c r="I193" s="45" t="s">
        <v>33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37"/>
      <c r="AE193" s="37"/>
      <c r="AF193" s="37"/>
      <c r="AG193" s="37"/>
      <c r="AH193" s="37"/>
      <c r="AI193" s="37"/>
      <c r="AJ193" s="37"/>
      <c r="AK193" s="37"/>
      <c r="AL193" s="37"/>
      <c r="AM193" s="64"/>
    </row>
    <row r="194" ht="15.75" customHeight="1">
      <c r="A194" s="102"/>
      <c r="B194" s="64"/>
      <c r="C194" s="64"/>
      <c r="D194" s="64"/>
      <c r="E194" s="37"/>
      <c r="F194" s="64"/>
      <c r="G194" s="64"/>
      <c r="H194" s="64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37"/>
      <c r="AE194" s="37"/>
      <c r="AF194" s="37"/>
      <c r="AG194" s="37"/>
      <c r="AH194" s="37"/>
      <c r="AI194" s="37"/>
      <c r="AJ194" s="37"/>
      <c r="AK194" s="37"/>
      <c r="AL194" s="37"/>
      <c r="AM194" s="64"/>
    </row>
    <row r="195" ht="15.75" customHeight="1">
      <c r="A195" s="102"/>
      <c r="B195" s="64"/>
      <c r="C195" s="64"/>
      <c r="D195" s="64"/>
      <c r="E195" s="37"/>
      <c r="F195" s="64"/>
      <c r="G195" s="64"/>
      <c r="H195" s="64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37"/>
      <c r="AE195" s="37"/>
      <c r="AF195" s="37"/>
      <c r="AG195" s="37"/>
      <c r="AH195" s="37"/>
      <c r="AI195" s="37"/>
      <c r="AJ195" s="37"/>
      <c r="AK195" s="37"/>
      <c r="AL195" s="37"/>
      <c r="AM195" s="64"/>
    </row>
    <row r="196" ht="15.75" customHeight="1">
      <c r="A196" s="102"/>
      <c r="B196" s="64"/>
      <c r="C196" s="64"/>
      <c r="D196" s="64"/>
      <c r="E196" s="37"/>
      <c r="F196" s="64"/>
      <c r="G196" s="64"/>
      <c r="H196" s="64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37"/>
      <c r="AE196" s="37"/>
      <c r="AF196" s="37"/>
      <c r="AG196" s="37"/>
      <c r="AH196" s="37"/>
      <c r="AI196" s="37"/>
      <c r="AJ196" s="37"/>
      <c r="AK196" s="37"/>
      <c r="AL196" s="37"/>
      <c r="AM196" s="64"/>
    </row>
    <row r="197" ht="15.75" customHeight="1">
      <c r="A197" s="102"/>
      <c r="B197" s="64"/>
      <c r="C197" s="64"/>
      <c r="D197" s="64"/>
      <c r="E197" s="37"/>
      <c r="F197" s="64"/>
      <c r="G197" s="64"/>
      <c r="H197" s="64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37"/>
      <c r="AE197" s="37"/>
      <c r="AF197" s="37"/>
      <c r="AG197" s="37"/>
      <c r="AH197" s="37"/>
      <c r="AI197" s="37"/>
      <c r="AJ197" s="37"/>
      <c r="AK197" s="37"/>
      <c r="AL197" s="37"/>
      <c r="AM197" s="64"/>
    </row>
    <row r="198" ht="15.75" customHeight="1">
      <c r="A198" s="102"/>
      <c r="B198" s="64"/>
      <c r="C198" s="64"/>
      <c r="D198" s="64"/>
      <c r="E198" s="37"/>
      <c r="F198" s="64"/>
      <c r="G198" s="64"/>
      <c r="H198" s="64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37"/>
      <c r="AE198" s="37"/>
      <c r="AF198" s="37"/>
      <c r="AG198" s="37"/>
      <c r="AH198" s="37"/>
      <c r="AI198" s="37"/>
      <c r="AJ198" s="37"/>
      <c r="AK198" s="37"/>
      <c r="AL198" s="37"/>
      <c r="AM198" s="64"/>
    </row>
    <row r="199" ht="15.75" customHeight="1">
      <c r="A199" s="102"/>
      <c r="B199" s="64"/>
      <c r="C199" s="64"/>
      <c r="D199" s="64"/>
      <c r="E199" s="37"/>
      <c r="F199" s="64"/>
      <c r="G199" s="64"/>
      <c r="H199" s="64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37"/>
      <c r="AE199" s="37"/>
      <c r="AF199" s="37"/>
      <c r="AG199" s="37"/>
      <c r="AH199" s="37"/>
      <c r="AI199" s="37"/>
      <c r="AJ199" s="37"/>
      <c r="AK199" s="37"/>
      <c r="AL199" s="37"/>
      <c r="AM199" s="64"/>
    </row>
    <row r="200" ht="15.75" customHeight="1">
      <c r="A200" s="102"/>
      <c r="B200" s="64"/>
      <c r="C200" s="64"/>
      <c r="D200" s="64"/>
      <c r="E200" s="37"/>
      <c r="F200" s="64"/>
      <c r="G200" s="64"/>
      <c r="H200" s="64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37"/>
      <c r="AE200" s="37"/>
      <c r="AF200" s="37"/>
      <c r="AG200" s="37"/>
      <c r="AH200" s="37"/>
      <c r="AI200" s="37"/>
      <c r="AJ200" s="37"/>
      <c r="AK200" s="37"/>
      <c r="AL200" s="37"/>
      <c r="AM200" s="64"/>
    </row>
    <row r="201" ht="15.75" customHeight="1">
      <c r="A201" s="102"/>
      <c r="B201" s="64"/>
      <c r="C201" s="64"/>
      <c r="D201" s="64"/>
      <c r="E201" s="37"/>
      <c r="F201" s="64"/>
      <c r="G201" s="64"/>
      <c r="H201" s="64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37"/>
      <c r="AE201" s="37"/>
      <c r="AF201" s="37"/>
      <c r="AG201" s="37"/>
      <c r="AH201" s="37"/>
      <c r="AI201" s="37"/>
      <c r="AJ201" s="37"/>
      <c r="AK201" s="37"/>
      <c r="AL201" s="37"/>
      <c r="AM201" s="64"/>
    </row>
    <row r="202" ht="15.75" customHeight="1">
      <c r="A202" s="102"/>
      <c r="B202" s="64"/>
      <c r="C202" s="64"/>
      <c r="D202" s="64"/>
      <c r="E202" s="37"/>
      <c r="F202" s="64"/>
      <c r="G202" s="64"/>
      <c r="H202" s="64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37"/>
      <c r="AE202" s="37"/>
      <c r="AF202" s="37"/>
      <c r="AG202" s="37"/>
      <c r="AH202" s="37"/>
      <c r="AI202" s="37"/>
      <c r="AJ202" s="37"/>
      <c r="AK202" s="37"/>
      <c r="AL202" s="37"/>
      <c r="AM202" s="64"/>
    </row>
    <row r="203" ht="15.75" customHeight="1">
      <c r="A203" s="102"/>
      <c r="B203" s="64"/>
      <c r="C203" s="64"/>
      <c r="D203" s="64"/>
      <c r="E203" s="37"/>
      <c r="F203" s="64"/>
      <c r="G203" s="64"/>
      <c r="H203" s="64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37"/>
      <c r="AE203" s="37"/>
      <c r="AF203" s="37"/>
      <c r="AG203" s="37"/>
      <c r="AH203" s="37"/>
      <c r="AI203" s="37"/>
      <c r="AJ203" s="37"/>
      <c r="AK203" s="37"/>
      <c r="AL203" s="37"/>
      <c r="AM203" s="64"/>
    </row>
    <row r="204" ht="15.75" customHeight="1">
      <c r="A204" s="102"/>
      <c r="B204" s="64"/>
      <c r="C204" s="64"/>
      <c r="D204" s="64"/>
      <c r="E204" s="37"/>
      <c r="F204" s="64"/>
      <c r="G204" s="64"/>
      <c r="H204" s="64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37"/>
      <c r="AE204" s="37"/>
      <c r="AF204" s="37"/>
      <c r="AG204" s="37"/>
      <c r="AH204" s="37"/>
      <c r="AI204" s="37"/>
      <c r="AJ204" s="37"/>
      <c r="AK204" s="37"/>
      <c r="AL204" s="37"/>
      <c r="AM204" s="64"/>
    </row>
    <row r="205" ht="15.75" customHeight="1">
      <c r="A205" s="102"/>
      <c r="B205" s="64"/>
      <c r="C205" s="64"/>
      <c r="D205" s="64"/>
      <c r="E205" s="37"/>
      <c r="F205" s="64"/>
      <c r="G205" s="64"/>
      <c r="H205" s="64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37"/>
      <c r="AE205" s="37"/>
      <c r="AF205" s="37"/>
      <c r="AG205" s="37"/>
      <c r="AH205" s="37"/>
      <c r="AI205" s="37"/>
      <c r="AJ205" s="37"/>
      <c r="AK205" s="37"/>
      <c r="AL205" s="37"/>
      <c r="AM205" s="64"/>
    </row>
    <row r="206" ht="15.75" customHeight="1">
      <c r="A206" s="102"/>
      <c r="B206" s="64"/>
      <c r="C206" s="64"/>
      <c r="D206" s="64"/>
      <c r="E206" s="37"/>
      <c r="F206" s="64"/>
      <c r="G206" s="64"/>
      <c r="H206" s="64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37"/>
      <c r="AE206" s="37"/>
      <c r="AF206" s="37"/>
      <c r="AG206" s="37"/>
      <c r="AH206" s="37"/>
      <c r="AI206" s="37"/>
      <c r="AJ206" s="37"/>
      <c r="AK206" s="37"/>
      <c r="AL206" s="37"/>
      <c r="AM206" s="64"/>
    </row>
    <row r="207" ht="15.75" customHeight="1">
      <c r="A207" s="102"/>
      <c r="B207" s="64"/>
      <c r="C207" s="64"/>
      <c r="D207" s="64"/>
      <c r="E207" s="37"/>
      <c r="F207" s="64"/>
      <c r="G207" s="64"/>
      <c r="H207" s="64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37"/>
      <c r="AE207" s="37"/>
      <c r="AF207" s="37"/>
      <c r="AG207" s="37"/>
      <c r="AH207" s="37"/>
      <c r="AI207" s="37"/>
      <c r="AJ207" s="37"/>
      <c r="AK207" s="37"/>
      <c r="AL207" s="37"/>
      <c r="AM207" s="64"/>
    </row>
    <row r="208" ht="15.75" customHeight="1">
      <c r="A208" s="102"/>
      <c r="B208" s="64"/>
      <c r="C208" s="64"/>
      <c r="D208" s="64"/>
      <c r="E208" s="37"/>
      <c r="F208" s="64"/>
      <c r="G208" s="64"/>
      <c r="H208" s="64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37"/>
      <c r="AE208" s="37"/>
      <c r="AF208" s="37"/>
      <c r="AG208" s="37"/>
      <c r="AH208" s="37"/>
      <c r="AI208" s="37"/>
      <c r="AJ208" s="37"/>
      <c r="AK208" s="37"/>
      <c r="AL208" s="37"/>
      <c r="AM208" s="64"/>
    </row>
    <row r="209" ht="15.75" customHeight="1">
      <c r="A209" s="102"/>
      <c r="B209" s="64"/>
      <c r="C209" s="64"/>
      <c r="D209" s="64"/>
      <c r="E209" s="37"/>
      <c r="F209" s="64"/>
      <c r="G209" s="64"/>
      <c r="H209" s="64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37"/>
      <c r="AE209" s="37"/>
      <c r="AF209" s="37"/>
      <c r="AG209" s="37"/>
      <c r="AH209" s="37"/>
      <c r="AI209" s="37"/>
      <c r="AJ209" s="37"/>
      <c r="AK209" s="37"/>
      <c r="AL209" s="37"/>
      <c r="AM209" s="64"/>
    </row>
    <row r="210" ht="15.75" customHeight="1">
      <c r="A210" s="102"/>
      <c r="B210" s="64"/>
      <c r="C210" s="64"/>
      <c r="D210" s="64"/>
      <c r="E210" s="37"/>
      <c r="F210" s="64"/>
      <c r="G210" s="64"/>
      <c r="H210" s="64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37"/>
      <c r="AE210" s="37"/>
      <c r="AF210" s="37"/>
      <c r="AG210" s="37"/>
      <c r="AH210" s="37"/>
      <c r="AI210" s="37"/>
      <c r="AJ210" s="37"/>
      <c r="AK210" s="37"/>
      <c r="AL210" s="37"/>
      <c r="AM210" s="64"/>
    </row>
    <row r="211" ht="15.75" customHeight="1">
      <c r="A211" s="102"/>
      <c r="B211" s="64"/>
      <c r="C211" s="64"/>
      <c r="D211" s="64"/>
      <c r="E211" s="37"/>
      <c r="F211" s="64"/>
      <c r="G211" s="64"/>
      <c r="H211" s="64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37"/>
      <c r="AE211" s="37"/>
      <c r="AF211" s="37"/>
      <c r="AG211" s="37"/>
      <c r="AH211" s="37"/>
      <c r="AI211" s="37"/>
      <c r="AJ211" s="37"/>
      <c r="AK211" s="37"/>
      <c r="AL211" s="37"/>
      <c r="AM211" s="64"/>
    </row>
    <row r="212" ht="15.75" customHeight="1">
      <c r="A212" s="102"/>
      <c r="B212" s="64"/>
      <c r="C212" s="64"/>
      <c r="D212" s="64"/>
      <c r="E212" s="37"/>
      <c r="F212" s="64"/>
      <c r="G212" s="64"/>
      <c r="H212" s="64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37"/>
      <c r="AE212" s="37"/>
      <c r="AF212" s="37"/>
      <c r="AG212" s="37"/>
      <c r="AH212" s="37"/>
      <c r="AI212" s="37"/>
      <c r="AJ212" s="37"/>
      <c r="AK212" s="37"/>
      <c r="AL212" s="37"/>
      <c r="AM212" s="64"/>
    </row>
    <row r="213" ht="15.75" customHeight="1">
      <c r="A213" s="102"/>
      <c r="B213" s="64"/>
      <c r="C213" s="64"/>
      <c r="D213" s="64"/>
      <c r="E213" s="37"/>
      <c r="F213" s="64"/>
      <c r="G213" s="64"/>
      <c r="H213" s="64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37"/>
      <c r="AE213" s="37"/>
      <c r="AF213" s="37"/>
      <c r="AG213" s="37"/>
      <c r="AH213" s="37"/>
      <c r="AI213" s="37"/>
      <c r="AJ213" s="37"/>
      <c r="AK213" s="37"/>
      <c r="AL213" s="37"/>
      <c r="AM213" s="64"/>
    </row>
    <row r="214" ht="15.75" customHeight="1">
      <c r="A214" s="102"/>
      <c r="B214" s="64"/>
      <c r="C214" s="64"/>
      <c r="D214" s="64"/>
      <c r="E214" s="37"/>
      <c r="F214" s="64"/>
      <c r="G214" s="64"/>
      <c r="H214" s="64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37"/>
      <c r="AE214" s="37"/>
      <c r="AF214" s="37"/>
      <c r="AG214" s="37"/>
      <c r="AH214" s="37"/>
      <c r="AI214" s="37"/>
      <c r="AJ214" s="37"/>
      <c r="AK214" s="37"/>
      <c r="AL214" s="37"/>
      <c r="AM214" s="64"/>
    </row>
    <row r="215" ht="15.75" customHeight="1">
      <c r="A215" s="102"/>
      <c r="B215" s="64"/>
      <c r="C215" s="64"/>
      <c r="D215" s="64"/>
      <c r="E215" s="37"/>
      <c r="F215" s="64"/>
      <c r="G215" s="64"/>
      <c r="H215" s="64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37"/>
      <c r="AE215" s="37"/>
      <c r="AF215" s="37"/>
      <c r="AG215" s="37"/>
      <c r="AH215" s="37"/>
      <c r="AI215" s="37"/>
      <c r="AJ215" s="37"/>
      <c r="AK215" s="37"/>
      <c r="AL215" s="37"/>
      <c r="AM215" s="64"/>
    </row>
    <row r="216" ht="15.75" customHeight="1">
      <c r="A216" s="102"/>
      <c r="B216" s="64"/>
      <c r="C216" s="64"/>
      <c r="D216" s="64"/>
      <c r="E216" s="37"/>
      <c r="F216" s="64"/>
      <c r="G216" s="64"/>
      <c r="H216" s="64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37"/>
      <c r="AE216" s="37"/>
      <c r="AF216" s="37"/>
      <c r="AG216" s="37"/>
      <c r="AH216" s="37"/>
      <c r="AI216" s="37"/>
      <c r="AJ216" s="37"/>
      <c r="AK216" s="37"/>
      <c r="AL216" s="37"/>
      <c r="AM216" s="64"/>
    </row>
    <row r="217" ht="15.75" customHeight="1">
      <c r="A217" s="102"/>
      <c r="B217" s="64"/>
      <c r="C217" s="64"/>
      <c r="D217" s="64"/>
      <c r="E217" s="37"/>
      <c r="F217" s="64"/>
      <c r="G217" s="64"/>
      <c r="H217" s="64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37"/>
      <c r="AE217" s="37"/>
      <c r="AF217" s="37"/>
      <c r="AG217" s="37"/>
      <c r="AH217" s="37"/>
      <c r="AI217" s="37"/>
      <c r="AJ217" s="37"/>
      <c r="AK217" s="37"/>
      <c r="AL217" s="37"/>
      <c r="AM217" s="64"/>
    </row>
    <row r="218" ht="15.75" customHeight="1">
      <c r="A218" s="102"/>
      <c r="B218" s="64"/>
      <c r="C218" s="64"/>
      <c r="D218" s="64"/>
      <c r="E218" s="37"/>
      <c r="F218" s="64"/>
      <c r="G218" s="64"/>
      <c r="H218" s="64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37"/>
      <c r="AE218" s="37"/>
      <c r="AF218" s="37"/>
      <c r="AG218" s="37"/>
      <c r="AH218" s="37"/>
      <c r="AI218" s="37"/>
      <c r="AJ218" s="37"/>
      <c r="AK218" s="37"/>
      <c r="AL218" s="37"/>
      <c r="AM218" s="64"/>
    </row>
    <row r="219" ht="15.75" customHeight="1">
      <c r="A219" s="102"/>
      <c r="B219" s="64"/>
      <c r="C219" s="64"/>
      <c r="D219" s="64"/>
      <c r="E219" s="37"/>
      <c r="F219" s="64"/>
      <c r="G219" s="64"/>
      <c r="H219" s="64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37"/>
      <c r="AE219" s="37"/>
      <c r="AF219" s="37"/>
      <c r="AG219" s="37"/>
      <c r="AH219" s="37"/>
      <c r="AI219" s="37"/>
      <c r="AJ219" s="37"/>
      <c r="AK219" s="37"/>
      <c r="AL219" s="37"/>
      <c r="AM219" s="64"/>
    </row>
    <row r="220" ht="15.75" customHeight="1">
      <c r="A220" s="102"/>
      <c r="B220" s="64"/>
      <c r="C220" s="64"/>
      <c r="D220" s="64"/>
      <c r="E220" s="37"/>
      <c r="F220" s="64"/>
      <c r="G220" s="64"/>
      <c r="H220" s="64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37"/>
      <c r="AE220" s="37"/>
      <c r="AF220" s="37"/>
      <c r="AG220" s="37"/>
      <c r="AH220" s="37"/>
      <c r="AI220" s="37"/>
      <c r="AJ220" s="37"/>
      <c r="AK220" s="37"/>
      <c r="AL220" s="37"/>
      <c r="AM220" s="64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37"/>
      <c r="AE221" s="37"/>
      <c r="AF221" s="37"/>
      <c r="AG221" s="37"/>
      <c r="AH221" s="37"/>
      <c r="AI221" s="37"/>
      <c r="AJ221" s="37"/>
      <c r="AK221" s="37"/>
      <c r="AL221" s="37"/>
      <c r="AM221" s="64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37"/>
      <c r="AE222" s="37"/>
      <c r="AF222" s="37"/>
      <c r="AG222" s="37"/>
      <c r="AH222" s="37"/>
      <c r="AI222" s="37"/>
      <c r="AJ222" s="37"/>
      <c r="AK222" s="37"/>
      <c r="AL222" s="37"/>
      <c r="AM222" s="64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37"/>
      <c r="AE223" s="37"/>
      <c r="AF223" s="37"/>
      <c r="AG223" s="37"/>
      <c r="AH223" s="37"/>
      <c r="AI223" s="37"/>
      <c r="AJ223" s="37"/>
      <c r="AK223" s="37"/>
      <c r="AL223" s="37"/>
      <c r="AM223" s="64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37"/>
      <c r="AE224" s="37"/>
      <c r="AF224" s="37"/>
      <c r="AG224" s="37"/>
      <c r="AH224" s="37"/>
      <c r="AI224" s="37"/>
      <c r="AJ224" s="37"/>
      <c r="AK224" s="37"/>
      <c r="AL224" s="37"/>
      <c r="AM224" s="64"/>
    </row>
    <row r="225" ht="15.75" customHeight="1">
      <c r="A225" s="102"/>
      <c r="B225" s="64"/>
      <c r="C225" s="64"/>
      <c r="D225" s="64"/>
      <c r="E225" s="37"/>
      <c r="F225" s="64"/>
      <c r="G225" s="64"/>
      <c r="H225" s="64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37"/>
      <c r="AE225" s="37"/>
      <c r="AF225" s="37"/>
      <c r="AG225" s="37"/>
      <c r="AH225" s="37"/>
      <c r="AI225" s="37"/>
      <c r="AJ225" s="37"/>
      <c r="AK225" s="37"/>
      <c r="AL225" s="37"/>
      <c r="AM225" s="64"/>
    </row>
    <row r="226" ht="15.75" customHeight="1">
      <c r="A226" s="102"/>
      <c r="B226" s="64"/>
      <c r="C226" s="64"/>
      <c r="D226" s="64"/>
      <c r="E226" s="37"/>
      <c r="F226" s="64"/>
      <c r="G226" s="64"/>
      <c r="H226" s="64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37"/>
      <c r="AE226" s="37"/>
      <c r="AF226" s="37"/>
      <c r="AG226" s="37"/>
      <c r="AH226" s="37"/>
      <c r="AI226" s="37"/>
      <c r="AJ226" s="37"/>
      <c r="AK226" s="37"/>
      <c r="AL226" s="37"/>
      <c r="AM226" s="64"/>
    </row>
    <row r="227" ht="15.75" customHeight="1">
      <c r="A227" s="102"/>
      <c r="B227" s="64"/>
      <c r="C227" s="64"/>
      <c r="D227" s="64"/>
      <c r="E227" s="37"/>
      <c r="F227" s="64"/>
      <c r="G227" s="64"/>
      <c r="H227" s="64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37"/>
      <c r="AE227" s="37"/>
      <c r="AF227" s="37"/>
      <c r="AG227" s="37"/>
      <c r="AH227" s="37"/>
      <c r="AI227" s="37"/>
      <c r="AJ227" s="37"/>
      <c r="AK227" s="37"/>
      <c r="AL227" s="37"/>
      <c r="AM227" s="64"/>
    </row>
    <row r="228" ht="15.75" customHeight="1">
      <c r="A228" s="102"/>
      <c r="B228" s="64"/>
      <c r="C228" s="64"/>
      <c r="D228" s="64"/>
      <c r="E228" s="37"/>
      <c r="F228" s="64"/>
      <c r="G228" s="64"/>
      <c r="H228" s="64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37"/>
      <c r="AE228" s="37"/>
      <c r="AF228" s="37"/>
      <c r="AG228" s="37"/>
      <c r="AH228" s="37"/>
      <c r="AI228" s="37"/>
      <c r="AJ228" s="37"/>
      <c r="AK228" s="37"/>
      <c r="AL228" s="37"/>
      <c r="AM228" s="64"/>
    </row>
    <row r="229" ht="15.75" customHeight="1">
      <c r="A229" s="102"/>
      <c r="B229" s="64"/>
      <c r="C229" s="64"/>
      <c r="D229" s="64"/>
      <c r="E229" s="37"/>
      <c r="F229" s="64"/>
      <c r="G229" s="64"/>
      <c r="H229" s="64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7"/>
      <c r="AK229" s="37"/>
      <c r="AL229" s="37"/>
      <c r="AM229" s="64"/>
    </row>
    <row r="230" ht="15.75" customHeight="1">
      <c r="A230" s="102"/>
      <c r="B230" s="64"/>
      <c r="C230" s="64"/>
      <c r="D230" s="64"/>
      <c r="E230" s="37"/>
      <c r="F230" s="64"/>
      <c r="G230" s="64"/>
      <c r="H230" s="64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7"/>
      <c r="AK230" s="37"/>
      <c r="AL230" s="37"/>
      <c r="AM230" s="64"/>
    </row>
    <row r="231" ht="15.75" customHeight="1">
      <c r="A231" s="102"/>
      <c r="B231" s="64"/>
      <c r="C231" s="64"/>
      <c r="D231" s="64"/>
      <c r="E231" s="37"/>
      <c r="F231" s="64"/>
      <c r="G231" s="64"/>
      <c r="H231" s="64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7"/>
      <c r="AK231" s="37"/>
      <c r="AL231" s="37"/>
      <c r="AM231" s="64"/>
    </row>
    <row r="232" ht="15.75" customHeight="1">
      <c r="A232" s="102"/>
      <c r="B232" s="64"/>
      <c r="C232" s="64"/>
      <c r="D232" s="64"/>
      <c r="E232" s="37"/>
      <c r="F232" s="64"/>
      <c r="G232" s="64"/>
      <c r="H232" s="64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7"/>
      <c r="AK232" s="37"/>
      <c r="AL232" s="37"/>
      <c r="AM232" s="64"/>
    </row>
    <row r="233" ht="15.75" customHeight="1">
      <c r="A233" s="102"/>
      <c r="B233" s="64"/>
      <c r="C233" s="64"/>
      <c r="D233" s="64"/>
      <c r="E233" s="37"/>
      <c r="F233" s="64"/>
      <c r="G233" s="64"/>
      <c r="H233" s="64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7"/>
      <c r="AK233" s="37"/>
      <c r="AL233" s="37"/>
      <c r="AM233" s="64"/>
    </row>
    <row r="234" ht="15.75" customHeight="1">
      <c r="A234" s="102"/>
      <c r="B234" s="64"/>
      <c r="C234" s="64"/>
      <c r="D234" s="64"/>
      <c r="E234" s="37"/>
      <c r="F234" s="64"/>
      <c r="G234" s="64"/>
      <c r="H234" s="64"/>
      <c r="I234" s="3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7"/>
      <c r="AK234" s="37"/>
      <c r="AL234" s="37"/>
      <c r="AM234" s="64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  <c r="AJ235" s="37"/>
      <c r="AK235" s="37"/>
      <c r="AL235" s="37"/>
      <c r="AM235" s="64"/>
    </row>
    <row r="236" ht="15.75" customHeight="1">
      <c r="A236" s="102"/>
      <c r="B236" s="64"/>
      <c r="C236" s="64"/>
      <c r="D236" s="64"/>
      <c r="E236" s="37"/>
      <c r="F236" s="64"/>
      <c r="G236" s="64"/>
      <c r="H236" s="64"/>
      <c r="I236" s="37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37"/>
      <c r="AE236" s="37"/>
      <c r="AF236" s="37"/>
      <c r="AG236" s="37"/>
      <c r="AH236" s="37"/>
      <c r="AI236" s="37"/>
      <c r="AJ236" s="37"/>
      <c r="AK236" s="37"/>
      <c r="AL236" s="37"/>
      <c r="AM236" s="64"/>
    </row>
    <row r="237" ht="15.75" customHeight="1">
      <c r="A237" s="102"/>
      <c r="B237" s="64"/>
      <c r="C237" s="64"/>
      <c r="D237" s="64"/>
      <c r="E237" s="37"/>
      <c r="F237" s="64"/>
      <c r="G237" s="64"/>
      <c r="H237" s="64"/>
      <c r="I237" s="3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37"/>
      <c r="AE237" s="37"/>
      <c r="AF237" s="37"/>
      <c r="AG237" s="37"/>
      <c r="AH237" s="37"/>
      <c r="AI237" s="37"/>
      <c r="AJ237" s="37"/>
      <c r="AK237" s="37"/>
      <c r="AL237" s="37"/>
      <c r="AM237" s="64"/>
    </row>
    <row r="238" ht="15.75" customHeight="1">
      <c r="A238" s="102"/>
      <c r="B238" s="64"/>
      <c r="C238" s="64"/>
      <c r="D238" s="64"/>
      <c r="E238" s="37"/>
      <c r="F238" s="64"/>
      <c r="G238" s="64"/>
      <c r="H238" s="64"/>
      <c r="I238" s="37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37"/>
      <c r="AE238" s="37"/>
      <c r="AF238" s="37"/>
      <c r="AG238" s="37"/>
      <c r="AH238" s="37"/>
      <c r="AI238" s="37"/>
      <c r="AJ238" s="37"/>
      <c r="AK238" s="37"/>
      <c r="AL238" s="37"/>
      <c r="AM238" s="64"/>
    </row>
    <row r="239" ht="15.75" customHeight="1">
      <c r="A239" s="102"/>
      <c r="B239" s="64"/>
      <c r="C239" s="64"/>
      <c r="D239" s="64"/>
      <c r="E239" s="37"/>
      <c r="F239" s="64"/>
      <c r="G239" s="64"/>
      <c r="H239" s="64"/>
      <c r="I239" s="3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37"/>
      <c r="AE239" s="37"/>
      <c r="AF239" s="37"/>
      <c r="AG239" s="37"/>
      <c r="AH239" s="37"/>
      <c r="AI239" s="37"/>
      <c r="AJ239" s="37"/>
      <c r="AK239" s="37"/>
      <c r="AL239" s="37"/>
      <c r="AM239" s="64"/>
    </row>
    <row r="240" ht="15.75" customHeight="1">
      <c r="A240" s="102"/>
      <c r="B240" s="64"/>
      <c r="C240" s="64"/>
      <c r="D240" s="64"/>
      <c r="E240" s="37"/>
      <c r="F240" s="64"/>
      <c r="G240" s="64"/>
      <c r="H240" s="64"/>
      <c r="I240" s="3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37"/>
      <c r="AE240" s="37"/>
      <c r="AF240" s="37"/>
      <c r="AG240" s="37"/>
      <c r="AH240" s="37"/>
      <c r="AI240" s="37"/>
      <c r="AJ240" s="37"/>
      <c r="AK240" s="37"/>
      <c r="AL240" s="37"/>
      <c r="AM240" s="64"/>
    </row>
    <row r="241" ht="15.75" customHeight="1">
      <c r="A241" s="102"/>
      <c r="B241" s="64"/>
      <c r="C241" s="64"/>
      <c r="D241" s="64"/>
      <c r="E241" s="37"/>
      <c r="F241" s="64"/>
      <c r="G241" s="64"/>
      <c r="H241" s="64"/>
      <c r="I241" s="37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37"/>
      <c r="AE241" s="37"/>
      <c r="AF241" s="37"/>
      <c r="AG241" s="37"/>
      <c r="AH241" s="37"/>
      <c r="AI241" s="37"/>
      <c r="AJ241" s="37"/>
      <c r="AK241" s="37"/>
      <c r="AL241" s="37"/>
      <c r="AM241" s="64"/>
    </row>
    <row r="242" ht="15.75" customHeight="1">
      <c r="A242" s="102"/>
      <c r="B242" s="64"/>
      <c r="C242" s="64"/>
      <c r="D242" s="64"/>
      <c r="E242" s="37"/>
      <c r="F242" s="64"/>
      <c r="G242" s="64"/>
      <c r="H242" s="64"/>
      <c r="I242" s="37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37"/>
      <c r="AE242" s="37"/>
      <c r="AF242" s="37"/>
      <c r="AG242" s="37"/>
      <c r="AH242" s="37"/>
      <c r="AI242" s="37"/>
      <c r="AJ242" s="37"/>
      <c r="AK242" s="37"/>
      <c r="AL242" s="37"/>
      <c r="AM242" s="64"/>
    </row>
    <row r="243" ht="15.75" customHeight="1">
      <c r="A243" s="102"/>
      <c r="B243" s="64"/>
      <c r="C243" s="64"/>
      <c r="D243" s="64"/>
      <c r="E243" s="37"/>
      <c r="F243" s="64"/>
      <c r="G243" s="64"/>
      <c r="H243" s="64"/>
      <c r="I243" s="3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37"/>
      <c r="AE243" s="37"/>
      <c r="AF243" s="37"/>
      <c r="AG243" s="37"/>
      <c r="AH243" s="37"/>
      <c r="AI243" s="37"/>
      <c r="AJ243" s="37"/>
      <c r="AK243" s="37"/>
      <c r="AL243" s="37"/>
      <c r="AM243" s="64"/>
    </row>
    <row r="244" ht="15.75" customHeight="1">
      <c r="A244" s="102"/>
      <c r="B244" s="64"/>
      <c r="C244" s="64"/>
      <c r="D244" s="64"/>
      <c r="E244" s="37"/>
      <c r="F244" s="64"/>
      <c r="G244" s="64"/>
      <c r="H244" s="64"/>
      <c r="I244" s="37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37"/>
      <c r="AE244" s="37"/>
      <c r="AF244" s="37"/>
      <c r="AG244" s="37"/>
      <c r="AH244" s="37"/>
      <c r="AI244" s="37"/>
      <c r="AJ244" s="37"/>
      <c r="AK244" s="37"/>
      <c r="AL244" s="37"/>
      <c r="AM244" s="64"/>
    </row>
    <row r="245" ht="15.75" customHeight="1">
      <c r="A245" s="102"/>
      <c r="B245" s="64"/>
      <c r="C245" s="64"/>
      <c r="D245" s="64"/>
      <c r="E245" s="37"/>
      <c r="F245" s="64"/>
      <c r="G245" s="64"/>
      <c r="H245" s="64"/>
      <c r="I245" s="3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37"/>
      <c r="AE245" s="37"/>
      <c r="AF245" s="37"/>
      <c r="AG245" s="37"/>
      <c r="AH245" s="37"/>
      <c r="AI245" s="37"/>
      <c r="AJ245" s="37"/>
      <c r="AK245" s="37"/>
      <c r="AL245" s="37"/>
      <c r="AM245" s="64"/>
    </row>
    <row r="246" ht="15.75" customHeight="1">
      <c r="A246" s="102"/>
      <c r="B246" s="64"/>
      <c r="C246" s="64"/>
      <c r="D246" s="64"/>
      <c r="E246" s="37"/>
      <c r="F246" s="64"/>
      <c r="G246" s="64"/>
      <c r="H246" s="64"/>
      <c r="I246" s="37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37"/>
      <c r="AE246" s="37"/>
      <c r="AF246" s="37"/>
      <c r="AG246" s="37"/>
      <c r="AH246" s="37"/>
      <c r="AI246" s="37"/>
      <c r="AJ246" s="37"/>
      <c r="AK246" s="37"/>
      <c r="AL246" s="37"/>
      <c r="AM246" s="64"/>
    </row>
    <row r="247" ht="15.75" customHeight="1">
      <c r="A247" s="102"/>
      <c r="B247" s="64"/>
      <c r="C247" s="64"/>
      <c r="D247" s="64"/>
      <c r="E247" s="37"/>
      <c r="F247" s="64"/>
      <c r="G247" s="64"/>
      <c r="H247" s="64"/>
      <c r="I247" s="37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37"/>
      <c r="AE247" s="37"/>
      <c r="AF247" s="37"/>
      <c r="AG247" s="37"/>
      <c r="AH247" s="37"/>
      <c r="AI247" s="37"/>
      <c r="AJ247" s="37"/>
      <c r="AK247" s="37"/>
      <c r="AL247" s="37"/>
      <c r="AM247" s="64"/>
    </row>
    <row r="248" ht="15.75" customHeight="1">
      <c r="A248" s="102"/>
      <c r="B248" s="64"/>
      <c r="C248" s="64"/>
      <c r="D248" s="64"/>
      <c r="E248" s="37"/>
      <c r="F248" s="64"/>
      <c r="G248" s="64"/>
      <c r="H248" s="64"/>
      <c r="I248" s="3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37"/>
      <c r="AE248" s="37"/>
      <c r="AF248" s="37"/>
      <c r="AG248" s="37"/>
      <c r="AH248" s="37"/>
      <c r="AI248" s="37"/>
      <c r="AJ248" s="37"/>
      <c r="AK248" s="37"/>
      <c r="AL248" s="37"/>
      <c r="AM248" s="64"/>
    </row>
    <row r="249" ht="15.75" customHeight="1">
      <c r="A249" s="102"/>
      <c r="B249" s="64"/>
      <c r="C249" s="64"/>
      <c r="D249" s="64"/>
      <c r="E249" s="37"/>
      <c r="F249" s="64"/>
      <c r="G249" s="64"/>
      <c r="H249" s="64"/>
      <c r="I249" s="37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37"/>
      <c r="AE249" s="37"/>
      <c r="AF249" s="37"/>
      <c r="AG249" s="37"/>
      <c r="AH249" s="37"/>
      <c r="AI249" s="37"/>
      <c r="AJ249" s="37"/>
      <c r="AK249" s="37"/>
      <c r="AL249" s="37"/>
      <c r="AM249" s="64"/>
    </row>
    <row r="250" ht="15.75" customHeight="1">
      <c r="A250" s="102"/>
      <c r="B250" s="64"/>
      <c r="C250" s="64"/>
      <c r="D250" s="64"/>
      <c r="E250" s="37"/>
      <c r="F250" s="64"/>
      <c r="G250" s="64"/>
      <c r="H250" s="64"/>
      <c r="I250" s="37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37"/>
      <c r="AE250" s="37"/>
      <c r="AF250" s="37"/>
      <c r="AG250" s="37"/>
      <c r="AH250" s="37"/>
      <c r="AI250" s="37"/>
      <c r="AJ250" s="37"/>
      <c r="AK250" s="37"/>
      <c r="AL250" s="37"/>
      <c r="AM250" s="64"/>
    </row>
    <row r="251" ht="15.75" customHeight="1">
      <c r="A251" s="102"/>
      <c r="B251" s="64"/>
      <c r="C251" s="64"/>
      <c r="D251" s="64"/>
      <c r="E251" s="37"/>
      <c r="F251" s="64"/>
      <c r="G251" s="64"/>
      <c r="H251" s="64"/>
      <c r="I251" s="37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37"/>
      <c r="AE251" s="37"/>
      <c r="AF251" s="37"/>
      <c r="AG251" s="37"/>
      <c r="AH251" s="37"/>
      <c r="AI251" s="37"/>
      <c r="AJ251" s="37"/>
      <c r="AK251" s="37"/>
      <c r="AL251" s="37"/>
      <c r="AM251" s="64"/>
    </row>
    <row r="252" ht="15.75" customHeight="1">
      <c r="A252" s="102"/>
      <c r="B252" s="64"/>
      <c r="C252" s="64"/>
      <c r="D252" s="64"/>
      <c r="E252" s="37"/>
      <c r="F252" s="64"/>
      <c r="G252" s="64"/>
      <c r="H252" s="64"/>
      <c r="I252" s="37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37"/>
      <c r="AE252" s="37"/>
      <c r="AF252" s="37"/>
      <c r="AG252" s="37"/>
      <c r="AH252" s="37"/>
      <c r="AI252" s="37"/>
      <c r="AJ252" s="37"/>
      <c r="AK252" s="37"/>
      <c r="AL252" s="37"/>
      <c r="AM252" s="64"/>
    </row>
    <row r="253" ht="15.75" customHeight="1">
      <c r="A253" s="102"/>
      <c r="B253" s="64"/>
      <c r="C253" s="64"/>
      <c r="D253" s="64"/>
      <c r="E253" s="37"/>
      <c r="F253" s="64"/>
      <c r="G253" s="64"/>
      <c r="H253" s="64"/>
      <c r="I253" s="37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37"/>
      <c r="AE253" s="37"/>
      <c r="AF253" s="37"/>
      <c r="AG253" s="37"/>
      <c r="AH253" s="37"/>
      <c r="AI253" s="37"/>
      <c r="AJ253" s="37"/>
      <c r="AK253" s="37"/>
      <c r="AL253" s="37"/>
      <c r="AM253" s="64"/>
    </row>
    <row r="254" ht="15.75" customHeight="1">
      <c r="A254" s="102"/>
      <c r="B254" s="64"/>
      <c r="C254" s="64"/>
      <c r="D254" s="64"/>
      <c r="E254" s="37"/>
      <c r="F254" s="64"/>
      <c r="G254" s="64"/>
      <c r="H254" s="64"/>
      <c r="I254" s="37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37"/>
      <c r="AE254" s="37"/>
      <c r="AF254" s="37"/>
      <c r="AG254" s="37"/>
      <c r="AH254" s="37"/>
      <c r="AI254" s="37"/>
      <c r="AJ254" s="37"/>
      <c r="AK254" s="37"/>
      <c r="AL254" s="37"/>
      <c r="AM254" s="64"/>
    </row>
    <row r="255" ht="15.75" customHeight="1">
      <c r="A255" s="102"/>
      <c r="B255" s="64"/>
      <c r="C255" s="64"/>
      <c r="D255" s="64"/>
      <c r="E255" s="37"/>
      <c r="F255" s="64"/>
      <c r="G255" s="64"/>
      <c r="H255" s="64"/>
      <c r="I255" s="37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37"/>
      <c r="AE255" s="37"/>
      <c r="AF255" s="37"/>
      <c r="AG255" s="37"/>
      <c r="AH255" s="37"/>
      <c r="AI255" s="37"/>
      <c r="AJ255" s="37"/>
      <c r="AK255" s="37"/>
      <c r="AL255" s="37"/>
      <c r="AM255" s="64"/>
    </row>
    <row r="256" ht="15.75" customHeight="1">
      <c r="A256" s="102"/>
      <c r="B256" s="64"/>
      <c r="C256" s="64"/>
      <c r="D256" s="64"/>
      <c r="E256" s="37"/>
      <c r="F256" s="64"/>
      <c r="G256" s="64"/>
      <c r="H256" s="64"/>
      <c r="I256" s="37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37"/>
      <c r="AE256" s="37"/>
      <c r="AF256" s="37"/>
      <c r="AG256" s="37"/>
      <c r="AH256" s="37"/>
      <c r="AI256" s="37"/>
      <c r="AJ256" s="37"/>
      <c r="AK256" s="37"/>
      <c r="AL256" s="37"/>
      <c r="AM256" s="64"/>
    </row>
    <row r="257" ht="15.75" customHeight="1">
      <c r="A257" s="102"/>
      <c r="B257" s="64"/>
      <c r="C257" s="64"/>
      <c r="D257" s="64"/>
      <c r="E257" s="37"/>
      <c r="F257" s="64"/>
      <c r="G257" s="64"/>
      <c r="H257" s="64"/>
      <c r="I257" s="37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37"/>
      <c r="AE257" s="37"/>
      <c r="AF257" s="37"/>
      <c r="AG257" s="37"/>
      <c r="AH257" s="37"/>
      <c r="AI257" s="37"/>
      <c r="AJ257" s="37"/>
      <c r="AK257" s="37"/>
      <c r="AL257" s="37"/>
      <c r="AM257" s="64"/>
    </row>
    <row r="258" ht="15.75" customHeight="1">
      <c r="A258" s="102"/>
      <c r="B258" s="64"/>
      <c r="C258" s="64"/>
      <c r="D258" s="64"/>
      <c r="E258" s="37"/>
      <c r="F258" s="64"/>
      <c r="G258" s="64"/>
      <c r="H258" s="64"/>
      <c r="I258" s="37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37"/>
      <c r="AE258" s="37"/>
      <c r="AF258" s="37"/>
      <c r="AG258" s="37"/>
      <c r="AH258" s="37"/>
      <c r="AI258" s="37"/>
      <c r="AJ258" s="37"/>
      <c r="AK258" s="37"/>
      <c r="AL258" s="37"/>
      <c r="AM258" s="64"/>
    </row>
    <row r="259" ht="15.75" customHeight="1">
      <c r="A259" s="102"/>
      <c r="B259" s="64"/>
      <c r="C259" s="64"/>
      <c r="D259" s="64"/>
      <c r="E259" s="37"/>
      <c r="F259" s="64"/>
      <c r="G259" s="64"/>
      <c r="H259" s="64"/>
      <c r="I259" s="37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37"/>
      <c r="AE259" s="37"/>
      <c r="AF259" s="37"/>
      <c r="AG259" s="37"/>
      <c r="AH259" s="37"/>
      <c r="AI259" s="37"/>
      <c r="AJ259" s="37"/>
      <c r="AK259" s="37"/>
      <c r="AL259" s="37"/>
      <c r="AM259" s="64"/>
    </row>
    <row r="260" ht="15.75" customHeight="1">
      <c r="A260" s="102"/>
      <c r="B260" s="64"/>
      <c r="C260" s="64"/>
      <c r="D260" s="64"/>
      <c r="E260" s="37"/>
      <c r="F260" s="64"/>
      <c r="G260" s="64"/>
      <c r="H260" s="64"/>
      <c r="I260" s="37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37"/>
      <c r="AE260" s="37"/>
      <c r="AF260" s="37"/>
      <c r="AG260" s="37"/>
      <c r="AH260" s="37"/>
      <c r="AI260" s="37"/>
      <c r="AJ260" s="37"/>
      <c r="AK260" s="37"/>
      <c r="AL260" s="37"/>
      <c r="AM260" s="64"/>
    </row>
    <row r="261" ht="15.75" customHeight="1">
      <c r="A261" s="102"/>
      <c r="B261" s="64"/>
      <c r="C261" s="64"/>
      <c r="D261" s="64"/>
      <c r="E261" s="37"/>
      <c r="F261" s="64"/>
      <c r="G261" s="64"/>
      <c r="H261" s="64"/>
      <c r="I261" s="37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37"/>
      <c r="AE261" s="37"/>
      <c r="AF261" s="37"/>
      <c r="AG261" s="37"/>
      <c r="AH261" s="37"/>
      <c r="AI261" s="37"/>
      <c r="AJ261" s="37"/>
      <c r="AK261" s="37"/>
      <c r="AL261" s="37"/>
      <c r="AM261" s="64"/>
    </row>
    <row r="262" ht="15.75" customHeight="1">
      <c r="A262" s="102"/>
      <c r="B262" s="64"/>
      <c r="C262" s="64"/>
      <c r="D262" s="64"/>
      <c r="E262" s="37"/>
      <c r="F262" s="64"/>
      <c r="G262" s="64"/>
      <c r="H262" s="64"/>
      <c r="I262" s="37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37"/>
      <c r="AE262" s="37"/>
      <c r="AF262" s="37"/>
      <c r="AG262" s="37"/>
      <c r="AH262" s="37"/>
      <c r="AI262" s="37"/>
      <c r="AJ262" s="37"/>
      <c r="AK262" s="37"/>
      <c r="AL262" s="37"/>
      <c r="AM262" s="64"/>
    </row>
    <row r="263" ht="15.75" customHeight="1">
      <c r="A263" s="102"/>
      <c r="B263" s="64"/>
      <c r="C263" s="64"/>
      <c r="D263" s="64"/>
      <c r="E263" s="37"/>
      <c r="F263" s="64"/>
      <c r="G263" s="64"/>
      <c r="H263" s="64"/>
      <c r="I263" s="37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37"/>
      <c r="AE263" s="37"/>
      <c r="AF263" s="37"/>
      <c r="AG263" s="37"/>
      <c r="AH263" s="37"/>
      <c r="AI263" s="37"/>
      <c r="AJ263" s="37"/>
      <c r="AK263" s="37"/>
      <c r="AL263" s="37"/>
      <c r="AM263" s="64"/>
    </row>
    <row r="264" ht="15.75" customHeight="1">
      <c r="A264" s="102"/>
      <c r="B264" s="64"/>
      <c r="C264" s="64"/>
      <c r="D264" s="64"/>
      <c r="E264" s="37"/>
      <c r="F264" s="64"/>
      <c r="G264" s="64"/>
      <c r="H264" s="64"/>
      <c r="I264" s="37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37"/>
      <c r="AE264" s="37"/>
      <c r="AF264" s="37"/>
      <c r="AG264" s="37"/>
      <c r="AH264" s="37"/>
      <c r="AI264" s="37"/>
      <c r="AJ264" s="37"/>
      <c r="AK264" s="37"/>
      <c r="AL264" s="37"/>
      <c r="AM264" s="64"/>
    </row>
    <row r="265" ht="15.75" customHeight="1">
      <c r="A265" s="102"/>
      <c r="B265" s="64"/>
      <c r="C265" s="64"/>
      <c r="D265" s="64"/>
      <c r="E265" s="37"/>
      <c r="F265" s="64"/>
      <c r="G265" s="64"/>
      <c r="H265" s="64"/>
      <c r="I265" s="37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37"/>
      <c r="AE265" s="37"/>
      <c r="AF265" s="37"/>
      <c r="AG265" s="37"/>
      <c r="AH265" s="37"/>
      <c r="AI265" s="37"/>
      <c r="AJ265" s="37"/>
      <c r="AK265" s="37"/>
      <c r="AL265" s="37"/>
      <c r="AM265" s="64"/>
    </row>
    <row r="266" ht="15.75" customHeight="1">
      <c r="A266" s="102"/>
      <c r="B266" s="64"/>
      <c r="C266" s="64"/>
      <c r="D266" s="64"/>
      <c r="E266" s="37"/>
      <c r="F266" s="64"/>
      <c r="G266" s="64"/>
      <c r="H266" s="64"/>
      <c r="I266" s="37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37"/>
      <c r="AE266" s="37"/>
      <c r="AF266" s="37"/>
      <c r="AG266" s="37"/>
      <c r="AH266" s="37"/>
      <c r="AI266" s="37"/>
      <c r="AJ266" s="37"/>
      <c r="AK266" s="37"/>
      <c r="AL266" s="37"/>
      <c r="AM266" s="64"/>
    </row>
    <row r="267" ht="15.75" customHeight="1">
      <c r="A267" s="102"/>
      <c r="B267" s="64"/>
      <c r="C267" s="64"/>
      <c r="D267" s="64"/>
      <c r="E267" s="37"/>
      <c r="F267" s="64"/>
      <c r="G267" s="64"/>
      <c r="H267" s="64"/>
      <c r="I267" s="37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37"/>
      <c r="AE267" s="37"/>
      <c r="AF267" s="37"/>
      <c r="AG267" s="37"/>
      <c r="AH267" s="37"/>
      <c r="AI267" s="37"/>
      <c r="AJ267" s="37"/>
      <c r="AK267" s="37"/>
      <c r="AL267" s="37"/>
      <c r="AM267" s="64"/>
    </row>
    <row r="268" ht="15.75" customHeight="1">
      <c r="A268" s="102"/>
      <c r="B268" s="64"/>
      <c r="C268" s="64"/>
      <c r="D268" s="64"/>
      <c r="E268" s="37"/>
      <c r="F268" s="64"/>
      <c r="G268" s="64"/>
      <c r="H268" s="64"/>
      <c r="I268" s="37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37"/>
      <c r="AE268" s="37"/>
      <c r="AF268" s="37"/>
      <c r="AG268" s="37"/>
      <c r="AH268" s="37"/>
      <c r="AI268" s="37"/>
      <c r="AJ268" s="37"/>
      <c r="AK268" s="37"/>
      <c r="AL268" s="37"/>
      <c r="AM268" s="64"/>
    </row>
    <row r="269" ht="15.75" customHeight="1">
      <c r="A269" s="102"/>
      <c r="B269" s="64"/>
      <c r="C269" s="64"/>
      <c r="D269" s="64"/>
      <c r="E269" s="37"/>
      <c r="F269" s="64"/>
      <c r="G269" s="64"/>
      <c r="H269" s="64"/>
      <c r="I269" s="37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37"/>
      <c r="AE269" s="37"/>
      <c r="AF269" s="37"/>
      <c r="AG269" s="37"/>
      <c r="AH269" s="37"/>
      <c r="AI269" s="37"/>
      <c r="AJ269" s="37"/>
      <c r="AK269" s="37"/>
      <c r="AL269" s="37"/>
      <c r="AM269" s="64"/>
    </row>
    <row r="270" ht="15.75" customHeight="1">
      <c r="A270" s="102"/>
      <c r="B270" s="64"/>
      <c r="C270" s="64"/>
      <c r="D270" s="64"/>
      <c r="E270" s="37"/>
      <c r="F270" s="64"/>
      <c r="G270" s="64"/>
      <c r="H270" s="64"/>
      <c r="I270" s="37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37"/>
      <c r="AE270" s="37"/>
      <c r="AF270" s="37"/>
      <c r="AG270" s="37"/>
      <c r="AH270" s="37"/>
      <c r="AI270" s="37"/>
      <c r="AJ270" s="37"/>
      <c r="AK270" s="37"/>
      <c r="AL270" s="37"/>
      <c r="AM270" s="64"/>
    </row>
    <row r="271" ht="15.75" customHeight="1">
      <c r="A271" s="102"/>
      <c r="B271" s="64"/>
      <c r="C271" s="64"/>
      <c r="D271" s="64"/>
      <c r="E271" s="37"/>
      <c r="F271" s="64"/>
      <c r="G271" s="64"/>
      <c r="H271" s="64"/>
      <c r="I271" s="37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37"/>
      <c r="AE271" s="37"/>
      <c r="AF271" s="37"/>
      <c r="AG271" s="37"/>
      <c r="AH271" s="37"/>
      <c r="AI271" s="37"/>
      <c r="AJ271" s="37"/>
      <c r="AK271" s="37"/>
      <c r="AL271" s="37"/>
      <c r="AM271" s="64"/>
    </row>
    <row r="272" ht="15.75" customHeight="1">
      <c r="A272" s="102"/>
      <c r="B272" s="64"/>
      <c r="C272" s="64"/>
      <c r="D272" s="64"/>
      <c r="E272" s="37"/>
      <c r="F272" s="64"/>
      <c r="G272" s="64"/>
      <c r="H272" s="64"/>
      <c r="I272" s="37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37"/>
      <c r="AE272" s="37"/>
      <c r="AF272" s="37"/>
      <c r="AG272" s="37"/>
      <c r="AH272" s="37"/>
      <c r="AI272" s="37"/>
      <c r="AJ272" s="37"/>
      <c r="AK272" s="37"/>
      <c r="AL272" s="37"/>
      <c r="AM272" s="64"/>
    </row>
    <row r="273" ht="15.75" customHeight="1">
      <c r="A273" s="102"/>
      <c r="B273" s="64"/>
      <c r="C273" s="64"/>
      <c r="D273" s="64"/>
      <c r="E273" s="37"/>
      <c r="F273" s="64"/>
      <c r="G273" s="64"/>
      <c r="H273" s="64"/>
      <c r="I273" s="37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37"/>
      <c r="AE273" s="37"/>
      <c r="AF273" s="37"/>
      <c r="AG273" s="37"/>
      <c r="AH273" s="37"/>
      <c r="AI273" s="37"/>
      <c r="AJ273" s="37"/>
      <c r="AK273" s="37"/>
      <c r="AL273" s="37"/>
      <c r="AM273" s="64"/>
    </row>
    <row r="274" ht="15.75" customHeight="1">
      <c r="A274" s="102"/>
      <c r="B274" s="64"/>
      <c r="C274" s="64"/>
      <c r="D274" s="64"/>
      <c r="E274" s="37"/>
      <c r="F274" s="64"/>
      <c r="G274" s="64"/>
      <c r="H274" s="64"/>
      <c r="I274" s="37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37"/>
      <c r="AE274" s="37"/>
      <c r="AF274" s="37"/>
      <c r="AG274" s="37"/>
      <c r="AH274" s="37"/>
      <c r="AI274" s="37"/>
      <c r="AJ274" s="37"/>
      <c r="AK274" s="37"/>
      <c r="AL274" s="37"/>
      <c r="AM274" s="64"/>
    </row>
    <row r="275" ht="15.75" customHeight="1">
      <c r="A275" s="102"/>
      <c r="B275" s="64"/>
      <c r="C275" s="64"/>
      <c r="D275" s="64"/>
      <c r="E275" s="37"/>
      <c r="F275" s="64"/>
      <c r="G275" s="64"/>
      <c r="H275" s="64"/>
      <c r="I275" s="37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37"/>
      <c r="AE275" s="37"/>
      <c r="AF275" s="37"/>
      <c r="AG275" s="37"/>
      <c r="AH275" s="37"/>
      <c r="AI275" s="37"/>
      <c r="AJ275" s="37"/>
      <c r="AK275" s="37"/>
      <c r="AL275" s="37"/>
      <c r="AM275" s="64"/>
    </row>
    <row r="276" ht="15.75" customHeight="1">
      <c r="A276" s="102"/>
      <c r="B276" s="64"/>
      <c r="C276" s="64"/>
      <c r="D276" s="64"/>
      <c r="E276" s="37"/>
      <c r="F276" s="64"/>
      <c r="G276" s="64"/>
      <c r="H276" s="64"/>
      <c r="I276" s="37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37"/>
      <c r="AE276" s="37"/>
      <c r="AF276" s="37"/>
      <c r="AG276" s="37"/>
      <c r="AH276" s="37"/>
      <c r="AI276" s="37"/>
      <c r="AJ276" s="37"/>
      <c r="AK276" s="37"/>
      <c r="AL276" s="37"/>
      <c r="AM276" s="64"/>
    </row>
    <row r="277" ht="15.75" customHeight="1">
      <c r="A277" s="102"/>
      <c r="B277" s="64"/>
      <c r="C277" s="64"/>
      <c r="D277" s="64"/>
      <c r="E277" s="37"/>
      <c r="F277" s="64"/>
      <c r="G277" s="64"/>
      <c r="H277" s="64"/>
      <c r="I277" s="37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37"/>
      <c r="AE277" s="37"/>
      <c r="AF277" s="37"/>
      <c r="AG277" s="37"/>
      <c r="AH277" s="37"/>
      <c r="AI277" s="37"/>
      <c r="AJ277" s="37"/>
      <c r="AK277" s="37"/>
      <c r="AL277" s="37"/>
      <c r="AM277" s="64"/>
    </row>
    <row r="278" ht="15.75" customHeight="1">
      <c r="A278" s="102"/>
      <c r="B278" s="64"/>
      <c r="C278" s="64"/>
      <c r="D278" s="64"/>
      <c r="E278" s="37"/>
      <c r="F278" s="64"/>
      <c r="G278" s="64"/>
      <c r="H278" s="64"/>
      <c r="I278" s="37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37"/>
      <c r="AE278" s="37"/>
      <c r="AF278" s="37"/>
      <c r="AG278" s="37"/>
      <c r="AH278" s="37"/>
      <c r="AI278" s="37"/>
      <c r="AJ278" s="37"/>
      <c r="AK278" s="37"/>
      <c r="AL278" s="37"/>
      <c r="AM278" s="64"/>
    </row>
    <row r="279" ht="15.75" customHeight="1">
      <c r="A279" s="102"/>
      <c r="B279" s="64"/>
      <c r="C279" s="64"/>
      <c r="D279" s="64"/>
      <c r="E279" s="37"/>
      <c r="F279" s="64"/>
      <c r="G279" s="64"/>
      <c r="H279" s="64"/>
      <c r="I279" s="37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37"/>
      <c r="AE279" s="37"/>
      <c r="AF279" s="37"/>
      <c r="AG279" s="37"/>
      <c r="AH279" s="37"/>
      <c r="AI279" s="37"/>
      <c r="AJ279" s="37"/>
      <c r="AK279" s="37"/>
      <c r="AL279" s="37"/>
      <c r="AM279" s="64"/>
    </row>
    <row r="280" ht="15.75" customHeight="1">
      <c r="A280" s="102"/>
      <c r="B280" s="64"/>
      <c r="C280" s="64"/>
      <c r="D280" s="64"/>
      <c r="E280" s="37"/>
      <c r="F280" s="64"/>
      <c r="G280" s="64"/>
      <c r="H280" s="64"/>
      <c r="I280" s="37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37"/>
      <c r="AE280" s="37"/>
      <c r="AF280" s="37"/>
      <c r="AG280" s="37"/>
      <c r="AH280" s="37"/>
      <c r="AI280" s="37"/>
      <c r="AJ280" s="37"/>
      <c r="AK280" s="37"/>
      <c r="AL280" s="37"/>
      <c r="AM280" s="64"/>
    </row>
    <row r="281" ht="15.75" customHeight="1">
      <c r="A281" s="102"/>
      <c r="B281" s="64"/>
      <c r="C281" s="64"/>
      <c r="D281" s="64"/>
      <c r="E281" s="37"/>
      <c r="F281" s="64"/>
      <c r="G281" s="64"/>
      <c r="H281" s="64"/>
      <c r="I281" s="37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37"/>
      <c r="AE281" s="37"/>
      <c r="AF281" s="37"/>
      <c r="AG281" s="37"/>
      <c r="AH281" s="37"/>
      <c r="AI281" s="37"/>
      <c r="AJ281" s="37"/>
      <c r="AK281" s="37"/>
      <c r="AL281" s="37"/>
      <c r="AM281" s="64"/>
    </row>
    <row r="282" ht="15.75" customHeight="1">
      <c r="A282" s="102"/>
      <c r="B282" s="64"/>
      <c r="C282" s="64"/>
      <c r="D282" s="64"/>
      <c r="E282" s="37"/>
      <c r="F282" s="64"/>
      <c r="G282" s="64"/>
      <c r="H282" s="64"/>
      <c r="I282" s="37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37"/>
      <c r="AE282" s="37"/>
      <c r="AF282" s="37"/>
      <c r="AG282" s="37"/>
      <c r="AH282" s="37"/>
      <c r="AI282" s="37"/>
      <c r="AJ282" s="37"/>
      <c r="AK282" s="37"/>
      <c r="AL282" s="37"/>
      <c r="AM282" s="64"/>
    </row>
    <row r="283" ht="15.75" customHeight="1">
      <c r="A283" s="102"/>
      <c r="B283" s="64"/>
      <c r="C283" s="64"/>
      <c r="D283" s="64"/>
      <c r="E283" s="37"/>
      <c r="F283" s="64"/>
      <c r="G283" s="64"/>
      <c r="H283" s="64"/>
      <c r="I283" s="37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37"/>
      <c r="AE283" s="37"/>
      <c r="AF283" s="37"/>
      <c r="AG283" s="37"/>
      <c r="AH283" s="37"/>
      <c r="AI283" s="37"/>
      <c r="AJ283" s="37"/>
      <c r="AK283" s="37"/>
      <c r="AL283" s="37"/>
      <c r="AM283" s="64"/>
    </row>
    <row r="284" ht="15.75" customHeight="1">
      <c r="A284" s="102"/>
      <c r="B284" s="64"/>
      <c r="C284" s="64"/>
      <c r="D284" s="64"/>
      <c r="E284" s="37"/>
      <c r="F284" s="64"/>
      <c r="G284" s="64"/>
      <c r="H284" s="64"/>
      <c r="I284" s="37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37"/>
      <c r="AE284" s="37"/>
      <c r="AF284" s="37"/>
      <c r="AG284" s="37"/>
      <c r="AH284" s="37"/>
      <c r="AI284" s="37"/>
      <c r="AJ284" s="37"/>
      <c r="AK284" s="37"/>
      <c r="AL284" s="37"/>
      <c r="AM284" s="64"/>
    </row>
    <row r="285" ht="15.75" customHeight="1">
      <c r="A285" s="102"/>
      <c r="B285" s="64"/>
      <c r="C285" s="64"/>
      <c r="D285" s="64"/>
      <c r="E285" s="37"/>
      <c r="F285" s="64"/>
      <c r="G285" s="64"/>
      <c r="H285" s="64"/>
      <c r="I285" s="37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37"/>
      <c r="AE285" s="37"/>
      <c r="AF285" s="37"/>
      <c r="AG285" s="37"/>
      <c r="AH285" s="37"/>
      <c r="AI285" s="37"/>
      <c r="AJ285" s="37"/>
      <c r="AK285" s="37"/>
      <c r="AL285" s="37"/>
      <c r="AM285" s="64"/>
    </row>
    <row r="286" ht="15.75" customHeight="1">
      <c r="A286" s="102"/>
      <c r="B286" s="64"/>
      <c r="C286" s="64"/>
      <c r="D286" s="64"/>
      <c r="E286" s="37"/>
      <c r="F286" s="64"/>
      <c r="G286" s="64"/>
      <c r="H286" s="64"/>
      <c r="I286" s="37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37"/>
      <c r="AE286" s="37"/>
      <c r="AF286" s="37"/>
      <c r="AG286" s="37"/>
      <c r="AH286" s="37"/>
      <c r="AI286" s="37"/>
      <c r="AJ286" s="37"/>
      <c r="AK286" s="37"/>
      <c r="AL286" s="37"/>
      <c r="AM286" s="64"/>
    </row>
    <row r="287" ht="15.75" customHeight="1">
      <c r="A287" s="102"/>
      <c r="B287" s="64"/>
      <c r="C287" s="64"/>
      <c r="D287" s="64"/>
      <c r="E287" s="37"/>
      <c r="F287" s="64"/>
      <c r="G287" s="64"/>
      <c r="H287" s="64"/>
      <c r="I287" s="37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37"/>
      <c r="AE287" s="37"/>
      <c r="AF287" s="37"/>
      <c r="AG287" s="37"/>
      <c r="AH287" s="37"/>
      <c r="AI287" s="37"/>
      <c r="AJ287" s="37"/>
      <c r="AK287" s="37"/>
      <c r="AL287" s="37"/>
      <c r="AM287" s="64"/>
    </row>
    <row r="288" ht="15.75" customHeight="1">
      <c r="A288" s="102"/>
      <c r="B288" s="64"/>
      <c r="C288" s="64"/>
      <c r="D288" s="64"/>
      <c r="E288" s="37"/>
      <c r="F288" s="64"/>
      <c r="G288" s="64"/>
      <c r="H288" s="64"/>
      <c r="I288" s="37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37"/>
      <c r="AE288" s="37"/>
      <c r="AF288" s="37"/>
      <c r="AG288" s="37"/>
      <c r="AH288" s="37"/>
      <c r="AI288" s="37"/>
      <c r="AJ288" s="37"/>
      <c r="AK288" s="37"/>
      <c r="AL288" s="37"/>
      <c r="AM288" s="64"/>
    </row>
    <row r="289" ht="15.75" customHeight="1">
      <c r="A289" s="102"/>
      <c r="B289" s="64"/>
      <c r="C289" s="64"/>
      <c r="D289" s="64"/>
      <c r="E289" s="37"/>
      <c r="F289" s="64"/>
      <c r="G289" s="64"/>
      <c r="H289" s="64"/>
      <c r="I289" s="37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37"/>
      <c r="AE289" s="37"/>
      <c r="AF289" s="37"/>
      <c r="AG289" s="37"/>
      <c r="AH289" s="37"/>
      <c r="AI289" s="37"/>
      <c r="AJ289" s="37"/>
      <c r="AK289" s="37"/>
      <c r="AL289" s="37"/>
      <c r="AM289" s="64"/>
    </row>
    <row r="290" ht="15.75" customHeight="1">
      <c r="A290" s="102"/>
      <c r="B290" s="64"/>
      <c r="C290" s="64"/>
      <c r="D290" s="64"/>
      <c r="E290" s="37"/>
      <c r="F290" s="64"/>
      <c r="G290" s="64"/>
      <c r="H290" s="64"/>
      <c r="I290" s="37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37"/>
      <c r="AE290" s="37"/>
      <c r="AF290" s="37"/>
      <c r="AG290" s="37"/>
      <c r="AH290" s="37"/>
      <c r="AI290" s="37"/>
      <c r="AJ290" s="37"/>
      <c r="AK290" s="37"/>
      <c r="AL290" s="37"/>
      <c r="AM290" s="64"/>
    </row>
    <row r="291" ht="15.75" customHeight="1">
      <c r="A291" s="102"/>
      <c r="B291" s="64"/>
      <c r="C291" s="64"/>
      <c r="D291" s="64"/>
      <c r="E291" s="37"/>
      <c r="F291" s="64"/>
      <c r="G291" s="64"/>
      <c r="H291" s="64"/>
      <c r="I291" s="37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37"/>
      <c r="AE291" s="37"/>
      <c r="AF291" s="37"/>
      <c r="AG291" s="37"/>
      <c r="AH291" s="37"/>
      <c r="AI291" s="37"/>
      <c r="AJ291" s="37"/>
      <c r="AK291" s="37"/>
      <c r="AL291" s="37"/>
      <c r="AM291" s="64"/>
    </row>
    <row r="292" ht="15.75" customHeight="1">
      <c r="A292" s="102"/>
      <c r="B292" s="64"/>
      <c r="C292" s="64"/>
      <c r="D292" s="64"/>
      <c r="E292" s="37"/>
      <c r="F292" s="64"/>
      <c r="G292" s="64"/>
      <c r="H292" s="64"/>
      <c r="I292" s="37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37"/>
      <c r="AE292" s="37"/>
      <c r="AF292" s="37"/>
      <c r="AG292" s="37"/>
      <c r="AH292" s="37"/>
      <c r="AI292" s="37"/>
      <c r="AJ292" s="37"/>
      <c r="AK292" s="37"/>
      <c r="AL292" s="37"/>
      <c r="AM292" s="64"/>
    </row>
    <row r="293" ht="15.75" customHeight="1">
      <c r="A293" s="102"/>
      <c r="B293" s="64"/>
      <c r="C293" s="64"/>
      <c r="D293" s="64"/>
      <c r="E293" s="37"/>
      <c r="F293" s="64"/>
      <c r="G293" s="64"/>
      <c r="H293" s="64"/>
      <c r="I293" s="37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37"/>
      <c r="AE293" s="37"/>
      <c r="AF293" s="37"/>
      <c r="AG293" s="37"/>
      <c r="AH293" s="37"/>
      <c r="AI293" s="37"/>
      <c r="AJ293" s="37"/>
      <c r="AK293" s="37"/>
      <c r="AL293" s="37"/>
      <c r="AM293" s="64"/>
    </row>
    <row r="294" ht="15.75" customHeight="1">
      <c r="A294" s="102"/>
      <c r="B294" s="64"/>
      <c r="C294" s="64"/>
      <c r="D294" s="64"/>
      <c r="E294" s="37"/>
      <c r="F294" s="64"/>
      <c r="G294" s="64"/>
      <c r="H294" s="64"/>
      <c r="I294" s="37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37"/>
      <c r="AE294" s="37"/>
      <c r="AF294" s="37"/>
      <c r="AG294" s="37"/>
      <c r="AH294" s="37"/>
      <c r="AI294" s="37"/>
      <c r="AJ294" s="37"/>
      <c r="AK294" s="37"/>
      <c r="AL294" s="37"/>
      <c r="AM294" s="64"/>
    </row>
    <row r="295" ht="15.75" customHeight="1">
      <c r="A295" s="102"/>
      <c r="B295" s="64"/>
      <c r="C295" s="64"/>
      <c r="D295" s="64"/>
      <c r="E295" s="37"/>
      <c r="F295" s="64"/>
      <c r="G295" s="64"/>
      <c r="H295" s="64"/>
      <c r="I295" s="37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37"/>
      <c r="AE295" s="37"/>
      <c r="AF295" s="37"/>
      <c r="AG295" s="37"/>
      <c r="AH295" s="37"/>
      <c r="AI295" s="37"/>
      <c r="AJ295" s="37"/>
      <c r="AK295" s="37"/>
      <c r="AL295" s="37"/>
      <c r="AM295" s="64"/>
    </row>
    <row r="296" ht="15.75" customHeight="1">
      <c r="A296" s="102"/>
      <c r="B296" s="64"/>
      <c r="C296" s="64"/>
      <c r="D296" s="64"/>
      <c r="E296" s="37"/>
      <c r="F296" s="64"/>
      <c r="G296" s="64"/>
      <c r="H296" s="64"/>
      <c r="I296" s="37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37"/>
      <c r="AE296" s="37"/>
      <c r="AF296" s="37"/>
      <c r="AG296" s="37"/>
      <c r="AH296" s="37"/>
      <c r="AI296" s="37"/>
      <c r="AJ296" s="37"/>
      <c r="AK296" s="37"/>
      <c r="AL296" s="37"/>
      <c r="AM296" s="64"/>
    </row>
    <row r="297" ht="15.75" customHeight="1">
      <c r="A297" s="102"/>
      <c r="B297" s="64"/>
      <c r="C297" s="64"/>
      <c r="D297" s="64"/>
      <c r="E297" s="37"/>
      <c r="F297" s="64"/>
      <c r="G297" s="64"/>
      <c r="H297" s="64"/>
      <c r="I297" s="37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37"/>
      <c r="AE297" s="37"/>
      <c r="AF297" s="37"/>
      <c r="AG297" s="37"/>
      <c r="AH297" s="37"/>
      <c r="AI297" s="37"/>
      <c r="AJ297" s="37"/>
      <c r="AK297" s="37"/>
      <c r="AL297" s="37"/>
      <c r="AM297" s="64"/>
    </row>
    <row r="298" ht="15.75" customHeight="1">
      <c r="A298" s="102"/>
      <c r="B298" s="64"/>
      <c r="C298" s="64"/>
      <c r="D298" s="64"/>
      <c r="E298" s="37"/>
      <c r="F298" s="64"/>
      <c r="G298" s="64"/>
      <c r="H298" s="64"/>
      <c r="I298" s="37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37"/>
      <c r="AE298" s="37"/>
      <c r="AF298" s="37"/>
      <c r="AG298" s="37"/>
      <c r="AH298" s="37"/>
      <c r="AI298" s="37"/>
      <c r="AJ298" s="37"/>
      <c r="AK298" s="37"/>
      <c r="AL298" s="37"/>
      <c r="AM298" s="64"/>
    </row>
    <row r="299" ht="15.75" customHeight="1">
      <c r="A299" s="102"/>
      <c r="B299" s="64"/>
      <c r="C299" s="64"/>
      <c r="D299" s="64"/>
      <c r="E299" s="37"/>
      <c r="F299" s="64"/>
      <c r="G299" s="64"/>
      <c r="H299" s="64"/>
      <c r="I299" s="37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37"/>
      <c r="AE299" s="37"/>
      <c r="AF299" s="37"/>
      <c r="AG299" s="37"/>
      <c r="AH299" s="37"/>
      <c r="AI299" s="37"/>
      <c r="AJ299" s="37"/>
      <c r="AK299" s="37"/>
      <c r="AL299" s="37"/>
      <c r="AM299" s="64"/>
    </row>
    <row r="300" ht="15.75" customHeight="1">
      <c r="A300" s="102"/>
      <c r="B300" s="64"/>
      <c r="C300" s="64"/>
      <c r="D300" s="64"/>
      <c r="E300" s="37"/>
      <c r="F300" s="64"/>
      <c r="G300" s="64"/>
      <c r="H300" s="64"/>
      <c r="I300" s="37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37"/>
      <c r="AE300" s="37"/>
      <c r="AF300" s="37"/>
      <c r="AG300" s="37"/>
      <c r="AH300" s="37"/>
      <c r="AI300" s="37"/>
      <c r="AJ300" s="37"/>
      <c r="AK300" s="37"/>
      <c r="AL300" s="37"/>
      <c r="AM300" s="64"/>
    </row>
    <row r="301" ht="15.75" customHeight="1">
      <c r="A301" s="102"/>
      <c r="B301" s="64"/>
      <c r="C301" s="64"/>
      <c r="D301" s="64"/>
      <c r="E301" s="37"/>
      <c r="F301" s="64"/>
      <c r="G301" s="64"/>
      <c r="H301" s="64"/>
      <c r="I301" s="37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37"/>
      <c r="AE301" s="37"/>
      <c r="AF301" s="37"/>
      <c r="AG301" s="37"/>
      <c r="AH301" s="37"/>
      <c r="AI301" s="37"/>
      <c r="AJ301" s="37"/>
      <c r="AK301" s="37"/>
      <c r="AL301" s="37"/>
      <c r="AM301" s="64"/>
    </row>
    <row r="302" ht="15.75" customHeight="1">
      <c r="A302" s="102"/>
      <c r="B302" s="64"/>
      <c r="C302" s="64"/>
      <c r="D302" s="64"/>
      <c r="E302" s="37"/>
      <c r="F302" s="64"/>
      <c r="G302" s="64"/>
      <c r="H302" s="64"/>
      <c r="I302" s="37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37"/>
      <c r="AE302" s="37"/>
      <c r="AF302" s="37"/>
      <c r="AG302" s="37"/>
      <c r="AH302" s="37"/>
      <c r="AI302" s="37"/>
      <c r="AJ302" s="37"/>
      <c r="AK302" s="37"/>
      <c r="AL302" s="37"/>
      <c r="AM302" s="64"/>
    </row>
    <row r="303" ht="15.75" customHeight="1">
      <c r="A303" s="102"/>
      <c r="B303" s="64"/>
      <c r="C303" s="64"/>
      <c r="D303" s="64"/>
      <c r="E303" s="37"/>
      <c r="F303" s="64"/>
      <c r="G303" s="64"/>
      <c r="H303" s="64"/>
      <c r="I303" s="37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37"/>
      <c r="AE303" s="37"/>
      <c r="AF303" s="37"/>
      <c r="AG303" s="37"/>
      <c r="AH303" s="37"/>
      <c r="AI303" s="37"/>
      <c r="AJ303" s="37"/>
      <c r="AK303" s="37"/>
      <c r="AL303" s="37"/>
      <c r="AM303" s="64"/>
    </row>
    <row r="304" ht="15.75" customHeight="1">
      <c r="A304" s="102"/>
      <c r="B304" s="64"/>
      <c r="C304" s="64"/>
      <c r="D304" s="64"/>
      <c r="E304" s="37"/>
      <c r="F304" s="64"/>
      <c r="G304" s="64"/>
      <c r="H304" s="64"/>
      <c r="I304" s="37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37"/>
      <c r="AE304" s="37"/>
      <c r="AF304" s="37"/>
      <c r="AG304" s="37"/>
      <c r="AH304" s="37"/>
      <c r="AI304" s="37"/>
      <c r="AJ304" s="37"/>
      <c r="AK304" s="37"/>
      <c r="AL304" s="37"/>
      <c r="AM304" s="64"/>
    </row>
    <row r="305" ht="15.75" customHeight="1">
      <c r="A305" s="102"/>
      <c r="B305" s="64"/>
      <c r="C305" s="64"/>
      <c r="D305" s="64"/>
      <c r="E305" s="37"/>
      <c r="F305" s="64"/>
      <c r="G305" s="64"/>
      <c r="H305" s="64"/>
      <c r="I305" s="37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37"/>
      <c r="AE305" s="37"/>
      <c r="AF305" s="37"/>
      <c r="AG305" s="37"/>
      <c r="AH305" s="37"/>
      <c r="AI305" s="37"/>
      <c r="AJ305" s="37"/>
      <c r="AK305" s="37"/>
      <c r="AL305" s="37"/>
      <c r="AM305" s="64"/>
    </row>
    <row r="306" ht="15.75" customHeight="1">
      <c r="A306" s="102"/>
      <c r="B306" s="64"/>
      <c r="C306" s="64"/>
      <c r="D306" s="64"/>
      <c r="E306" s="37"/>
      <c r="F306" s="64"/>
      <c r="G306" s="64"/>
      <c r="H306" s="64"/>
      <c r="I306" s="37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37"/>
      <c r="AE306" s="37"/>
      <c r="AF306" s="37"/>
      <c r="AG306" s="37"/>
      <c r="AH306" s="37"/>
      <c r="AI306" s="37"/>
      <c r="AJ306" s="37"/>
      <c r="AK306" s="37"/>
      <c r="AL306" s="37"/>
      <c r="AM306" s="64"/>
    </row>
    <row r="307" ht="15.75" customHeight="1">
      <c r="A307" s="102"/>
      <c r="B307" s="64"/>
      <c r="C307" s="64"/>
      <c r="D307" s="64"/>
      <c r="E307" s="37"/>
      <c r="F307" s="64"/>
      <c r="G307" s="64"/>
      <c r="H307" s="64"/>
      <c r="I307" s="37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37"/>
      <c r="AE307" s="37"/>
      <c r="AF307" s="37"/>
      <c r="AG307" s="37"/>
      <c r="AH307" s="37"/>
      <c r="AI307" s="37"/>
      <c r="AJ307" s="37"/>
      <c r="AK307" s="37"/>
      <c r="AL307" s="37"/>
      <c r="AM307" s="64"/>
    </row>
    <row r="308" ht="15.75" customHeight="1">
      <c r="A308" s="102"/>
      <c r="B308" s="64"/>
      <c r="C308" s="64"/>
      <c r="D308" s="64"/>
      <c r="E308" s="37"/>
      <c r="F308" s="64"/>
      <c r="G308" s="64"/>
      <c r="H308" s="64"/>
      <c r="I308" s="37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37"/>
      <c r="AE308" s="37"/>
      <c r="AF308" s="37"/>
      <c r="AG308" s="37"/>
      <c r="AH308" s="37"/>
      <c r="AI308" s="37"/>
      <c r="AJ308" s="37"/>
      <c r="AK308" s="37"/>
      <c r="AL308" s="37"/>
      <c r="AM308" s="64"/>
    </row>
    <row r="309" ht="15.75" customHeight="1">
      <c r="A309" s="102"/>
      <c r="B309" s="64"/>
      <c r="C309" s="64"/>
      <c r="D309" s="64"/>
      <c r="E309" s="37"/>
      <c r="F309" s="64"/>
      <c r="G309" s="64"/>
      <c r="H309" s="64"/>
      <c r="I309" s="37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37"/>
      <c r="AE309" s="37"/>
      <c r="AF309" s="37"/>
      <c r="AG309" s="37"/>
      <c r="AH309" s="37"/>
      <c r="AI309" s="37"/>
      <c r="AJ309" s="37"/>
      <c r="AK309" s="37"/>
      <c r="AL309" s="37"/>
      <c r="AM309" s="64"/>
    </row>
    <row r="310" ht="15.75" customHeight="1">
      <c r="A310" s="102"/>
      <c r="B310" s="64"/>
      <c r="C310" s="64"/>
      <c r="D310" s="64"/>
      <c r="E310" s="37"/>
      <c r="F310" s="64"/>
      <c r="G310" s="64"/>
      <c r="H310" s="64"/>
      <c r="I310" s="37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37"/>
      <c r="AE310" s="37"/>
      <c r="AF310" s="37"/>
      <c r="AG310" s="37"/>
      <c r="AH310" s="37"/>
      <c r="AI310" s="37"/>
      <c r="AJ310" s="37"/>
      <c r="AK310" s="37"/>
      <c r="AL310" s="37"/>
      <c r="AM310" s="64"/>
    </row>
    <row r="311" ht="15.75" customHeight="1">
      <c r="A311" s="102"/>
      <c r="B311" s="64"/>
      <c r="C311" s="64"/>
      <c r="D311" s="64"/>
      <c r="E311" s="37"/>
      <c r="F311" s="64"/>
      <c r="G311" s="64"/>
      <c r="H311" s="64"/>
      <c r="I311" s="37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37"/>
      <c r="AE311" s="37"/>
      <c r="AF311" s="37"/>
      <c r="AG311" s="37"/>
      <c r="AH311" s="37"/>
      <c r="AI311" s="37"/>
      <c r="AJ311" s="37"/>
      <c r="AK311" s="37"/>
      <c r="AL311" s="37"/>
      <c r="AM311" s="64"/>
    </row>
    <row r="312" ht="15.75" customHeight="1">
      <c r="A312" s="102"/>
      <c r="B312" s="64"/>
      <c r="C312" s="64"/>
      <c r="D312" s="64"/>
      <c r="E312" s="37"/>
      <c r="F312" s="64"/>
      <c r="G312" s="64"/>
      <c r="H312" s="64"/>
      <c r="I312" s="37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37"/>
      <c r="AE312" s="37"/>
      <c r="AF312" s="37"/>
      <c r="AG312" s="37"/>
      <c r="AH312" s="37"/>
      <c r="AI312" s="37"/>
      <c r="AJ312" s="37"/>
      <c r="AK312" s="37"/>
      <c r="AL312" s="37"/>
      <c r="AM312" s="64"/>
    </row>
    <row r="313" ht="15.75" customHeight="1">
      <c r="A313" s="102"/>
      <c r="B313" s="64"/>
      <c r="C313" s="64"/>
      <c r="D313" s="64"/>
      <c r="E313" s="37"/>
      <c r="F313" s="64"/>
      <c r="G313" s="64"/>
      <c r="H313" s="64"/>
      <c r="I313" s="37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37"/>
      <c r="AE313" s="37"/>
      <c r="AF313" s="37"/>
      <c r="AG313" s="37"/>
      <c r="AH313" s="37"/>
      <c r="AI313" s="37"/>
      <c r="AJ313" s="37"/>
      <c r="AK313" s="37"/>
      <c r="AL313" s="37"/>
      <c r="AM313" s="64"/>
    </row>
    <row r="314" ht="15.75" customHeight="1">
      <c r="A314" s="102"/>
      <c r="B314" s="64"/>
      <c r="C314" s="64"/>
      <c r="D314" s="64"/>
      <c r="E314" s="37"/>
      <c r="F314" s="64"/>
      <c r="G314" s="64"/>
      <c r="H314" s="64"/>
      <c r="I314" s="37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37"/>
      <c r="AE314" s="37"/>
      <c r="AF314" s="37"/>
      <c r="AG314" s="37"/>
      <c r="AH314" s="37"/>
      <c r="AI314" s="37"/>
      <c r="AJ314" s="37"/>
      <c r="AK314" s="37"/>
      <c r="AL314" s="37"/>
      <c r="AM314" s="64"/>
    </row>
    <row r="315" ht="15.75" customHeight="1">
      <c r="A315" s="102"/>
      <c r="B315" s="64"/>
      <c r="C315" s="64"/>
      <c r="D315" s="64"/>
      <c r="E315" s="37"/>
      <c r="F315" s="64"/>
      <c r="G315" s="64"/>
      <c r="H315" s="64"/>
      <c r="I315" s="37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37"/>
      <c r="AE315" s="37"/>
      <c r="AF315" s="37"/>
      <c r="AG315" s="37"/>
      <c r="AH315" s="37"/>
      <c r="AI315" s="37"/>
      <c r="AJ315" s="37"/>
      <c r="AK315" s="37"/>
      <c r="AL315" s="37"/>
      <c r="AM315" s="64"/>
    </row>
    <row r="316" ht="15.75" customHeight="1">
      <c r="A316" s="102"/>
      <c r="B316" s="64"/>
      <c r="C316" s="64"/>
      <c r="D316" s="64"/>
      <c r="E316" s="37"/>
      <c r="F316" s="64"/>
      <c r="G316" s="64"/>
      <c r="H316" s="64"/>
      <c r="I316" s="37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37"/>
      <c r="AE316" s="37"/>
      <c r="AF316" s="37"/>
      <c r="AG316" s="37"/>
      <c r="AH316" s="37"/>
      <c r="AI316" s="37"/>
      <c r="AJ316" s="37"/>
      <c r="AK316" s="37"/>
      <c r="AL316" s="37"/>
      <c r="AM316" s="64"/>
    </row>
    <row r="317" ht="15.75" customHeight="1">
      <c r="A317" s="102"/>
      <c r="B317" s="64"/>
      <c r="C317" s="64"/>
      <c r="D317" s="64"/>
      <c r="E317" s="37"/>
      <c r="F317" s="64"/>
      <c r="G317" s="64"/>
      <c r="H317" s="64"/>
      <c r="I317" s="37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37"/>
      <c r="AE317" s="37"/>
      <c r="AF317" s="37"/>
      <c r="AG317" s="37"/>
      <c r="AH317" s="37"/>
      <c r="AI317" s="37"/>
      <c r="AJ317" s="37"/>
      <c r="AK317" s="37"/>
      <c r="AL317" s="37"/>
      <c r="AM317" s="64"/>
    </row>
    <row r="318" ht="15.75" customHeight="1">
      <c r="A318" s="102"/>
      <c r="B318" s="64"/>
      <c r="C318" s="64"/>
      <c r="D318" s="64"/>
      <c r="E318" s="37"/>
      <c r="F318" s="64"/>
      <c r="G318" s="64"/>
      <c r="H318" s="64"/>
      <c r="I318" s="37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37"/>
      <c r="AE318" s="37"/>
      <c r="AF318" s="37"/>
      <c r="AG318" s="37"/>
      <c r="AH318" s="37"/>
      <c r="AI318" s="37"/>
      <c r="AJ318" s="37"/>
      <c r="AK318" s="37"/>
      <c r="AL318" s="37"/>
      <c r="AM318" s="64"/>
    </row>
    <row r="319" ht="15.75" customHeight="1">
      <c r="A319" s="102"/>
      <c r="B319" s="64"/>
      <c r="C319" s="64"/>
      <c r="D319" s="64"/>
      <c r="E319" s="37"/>
      <c r="F319" s="64"/>
      <c r="G319" s="64"/>
      <c r="H319" s="64"/>
      <c r="I319" s="37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37"/>
      <c r="AE319" s="37"/>
      <c r="AF319" s="37"/>
      <c r="AG319" s="37"/>
      <c r="AH319" s="37"/>
      <c r="AI319" s="37"/>
      <c r="AJ319" s="37"/>
      <c r="AK319" s="37"/>
      <c r="AL319" s="37"/>
      <c r="AM319" s="64"/>
    </row>
    <row r="320" ht="15.75" customHeight="1">
      <c r="A320" s="102"/>
      <c r="B320" s="64"/>
      <c r="C320" s="64"/>
      <c r="D320" s="64"/>
      <c r="E320" s="37"/>
      <c r="F320" s="64"/>
      <c r="G320" s="64"/>
      <c r="H320" s="64"/>
      <c r="I320" s="37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37"/>
      <c r="AE320" s="37"/>
      <c r="AF320" s="37"/>
      <c r="AG320" s="37"/>
      <c r="AH320" s="37"/>
      <c r="AI320" s="37"/>
      <c r="AJ320" s="37"/>
      <c r="AK320" s="37"/>
      <c r="AL320" s="37"/>
      <c r="AM320" s="64"/>
    </row>
    <row r="321" ht="15.75" customHeight="1">
      <c r="A321" s="102"/>
      <c r="B321" s="64"/>
      <c r="C321" s="64"/>
      <c r="D321" s="64"/>
      <c r="E321" s="37"/>
      <c r="F321" s="64"/>
      <c r="G321" s="64"/>
      <c r="H321" s="64"/>
      <c r="I321" s="37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37"/>
      <c r="AE321" s="37"/>
      <c r="AF321" s="37"/>
      <c r="AG321" s="37"/>
      <c r="AH321" s="37"/>
      <c r="AI321" s="37"/>
      <c r="AJ321" s="37"/>
      <c r="AK321" s="37"/>
      <c r="AL321" s="37"/>
      <c r="AM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</row>
    <row r="1008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</row>
  </sheetData>
  <mergeCells count="64">
    <mergeCell ref="AD162:AF169"/>
    <mergeCell ref="AG162:AH169"/>
    <mergeCell ref="F125:H125"/>
    <mergeCell ref="X125:Y125"/>
    <mergeCell ref="AD135:AF135"/>
    <mergeCell ref="AD136:AF136"/>
    <mergeCell ref="AD141:AL142"/>
    <mergeCell ref="AD153:AF153"/>
    <mergeCell ref="AD154:AF154"/>
    <mergeCell ref="A186:A189"/>
    <mergeCell ref="A190:A191"/>
    <mergeCell ref="A126:A130"/>
    <mergeCell ref="A131:A135"/>
    <mergeCell ref="A136:A140"/>
    <mergeCell ref="A141:A145"/>
    <mergeCell ref="A146:A150"/>
    <mergeCell ref="A151:A155"/>
    <mergeCell ref="A156:A160"/>
    <mergeCell ref="AD15:AF15"/>
    <mergeCell ref="AD16:AF16"/>
    <mergeCell ref="AD19:AL20"/>
    <mergeCell ref="AD34:AF34"/>
    <mergeCell ref="AD35:AF35"/>
    <mergeCell ref="AD38:AF45"/>
    <mergeCell ref="AG38:AH45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74:A78"/>
    <mergeCell ref="A79:A83"/>
    <mergeCell ref="AD83:AF83"/>
    <mergeCell ref="AD84:AF84"/>
    <mergeCell ref="AD86:AF93"/>
    <mergeCell ref="AG86:AH93"/>
    <mergeCell ref="A89:A93"/>
    <mergeCell ref="A21:A26"/>
    <mergeCell ref="A27:A32"/>
    <mergeCell ref="A33:A38"/>
    <mergeCell ref="A39:A44"/>
    <mergeCell ref="A45:A50"/>
    <mergeCell ref="A51:A56"/>
    <mergeCell ref="A57:A62"/>
    <mergeCell ref="A84:A88"/>
    <mergeCell ref="A94:A98"/>
    <mergeCell ref="A99:A103"/>
    <mergeCell ref="A104:A108"/>
    <mergeCell ref="A109:A113"/>
    <mergeCell ref="A114:A118"/>
    <mergeCell ref="A124:G124"/>
    <mergeCell ref="A161:A165"/>
    <mergeCell ref="A166:A170"/>
    <mergeCell ref="A175:G175"/>
    <mergeCell ref="F176:H176"/>
    <mergeCell ref="AD180:AF187"/>
    <mergeCell ref="AG180:AH187"/>
    <mergeCell ref="A184:G184"/>
    <mergeCell ref="F185:H185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105" t="s">
        <v>129</v>
      </c>
      <c r="H1" s="37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37"/>
      <c r="AB1" s="64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7"/>
      <c r="X2" s="64"/>
      <c r="Y2" s="64"/>
      <c r="Z2" s="37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81</v>
      </c>
      <c r="AH2" s="5" t="s">
        <v>82</v>
      </c>
      <c r="AI2" s="5" t="s">
        <v>83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6">
        <v>1.0</v>
      </c>
      <c r="B3" s="44">
        <v>45951.0</v>
      </c>
      <c r="C3" s="12" t="s">
        <v>84</v>
      </c>
      <c r="D3" s="72" t="s">
        <v>78</v>
      </c>
      <c r="E3" s="45" t="s">
        <v>25</v>
      </c>
      <c r="F3" s="17">
        <v>12.0</v>
      </c>
      <c r="G3" s="93" t="s">
        <v>24</v>
      </c>
      <c r="H3" s="17">
        <v>4.0</v>
      </c>
      <c r="I3" s="45" t="s">
        <v>61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9" t="s">
        <v>25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4"/>
      <c r="X3" s="64"/>
      <c r="Y3" s="64"/>
      <c r="Z3" s="64"/>
      <c r="AA3" s="22" t="s">
        <v>29</v>
      </c>
      <c r="AB3" s="71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4">
        <v>45951.0</v>
      </c>
      <c r="C4" s="12" t="s">
        <v>84</v>
      </c>
      <c r="D4" s="72" t="s">
        <v>78</v>
      </c>
      <c r="E4" s="45" t="s">
        <v>23</v>
      </c>
      <c r="F4" s="17">
        <v>21.0</v>
      </c>
      <c r="G4" s="93" t="s">
        <v>24</v>
      </c>
      <c r="H4" s="17">
        <v>5.0</v>
      </c>
      <c r="I4" s="45" t="s">
        <v>130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9" t="s">
        <v>23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4"/>
      <c r="X4" s="64"/>
      <c r="Y4" s="64"/>
      <c r="Z4" s="64"/>
      <c r="AA4" s="22" t="s">
        <v>34</v>
      </c>
      <c r="AB4" s="71" t="s">
        <v>33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4">
        <v>45951.0</v>
      </c>
      <c r="C5" s="12" t="s">
        <v>86</v>
      </c>
      <c r="D5" s="72" t="s">
        <v>78</v>
      </c>
      <c r="E5" s="45" t="s">
        <v>36</v>
      </c>
      <c r="F5" s="17">
        <v>14.0</v>
      </c>
      <c r="G5" s="93" t="s">
        <v>24</v>
      </c>
      <c r="H5" s="17">
        <v>4.0</v>
      </c>
      <c r="I5" s="45" t="s">
        <v>63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9" t="s">
        <v>36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4"/>
      <c r="X5" s="64"/>
      <c r="Y5" s="64"/>
      <c r="Z5" s="64"/>
      <c r="AA5" s="22" t="s">
        <v>38</v>
      </c>
      <c r="AB5" s="71" t="s">
        <v>64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4">
        <v>45951.0</v>
      </c>
      <c r="C6" s="12" t="s">
        <v>86</v>
      </c>
      <c r="D6" s="72" t="s">
        <v>78</v>
      </c>
      <c r="E6" s="45" t="s">
        <v>33</v>
      </c>
      <c r="F6" s="17">
        <v>15.0</v>
      </c>
      <c r="G6" s="93" t="s">
        <v>24</v>
      </c>
      <c r="H6" s="17">
        <v>3.0</v>
      </c>
      <c r="I6" s="45" t="s">
        <v>45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9" t="s">
        <v>33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4"/>
      <c r="X6" s="64"/>
      <c r="Y6" s="64"/>
      <c r="Z6" s="64"/>
      <c r="AA6" s="53" t="s">
        <v>41</v>
      </c>
      <c r="AB6" s="71" t="s">
        <v>25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4">
        <v>45951.0</v>
      </c>
      <c r="C7" s="12" t="s">
        <v>52</v>
      </c>
      <c r="D7" s="72" t="s">
        <v>78</v>
      </c>
      <c r="E7" s="14" t="s">
        <v>69</v>
      </c>
      <c r="F7" s="106">
        <v>0.0</v>
      </c>
      <c r="G7" s="93" t="s">
        <v>24</v>
      </c>
      <c r="H7" s="106">
        <v>21.0</v>
      </c>
      <c r="I7" s="45" t="s">
        <v>64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61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4"/>
      <c r="X7" s="64"/>
      <c r="Y7" s="64"/>
      <c r="Z7" s="64"/>
      <c r="AA7" s="53" t="s">
        <v>44</v>
      </c>
      <c r="AB7" s="71" t="s">
        <v>31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4">
        <v>45951.0</v>
      </c>
      <c r="C8" s="12" t="s">
        <v>52</v>
      </c>
      <c r="D8" s="72" t="s">
        <v>78</v>
      </c>
      <c r="E8" s="45" t="s">
        <v>39</v>
      </c>
      <c r="F8" s="17">
        <v>3.0</v>
      </c>
      <c r="G8" s="93" t="s">
        <v>24</v>
      </c>
      <c r="H8" s="17">
        <v>9.0</v>
      </c>
      <c r="I8" s="45" t="s">
        <v>107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9" t="s">
        <v>130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4"/>
      <c r="X8" s="64"/>
      <c r="Y8" s="64"/>
      <c r="Z8" s="64"/>
      <c r="AA8" s="53" t="s">
        <v>47</v>
      </c>
      <c r="AB8" s="71" t="s">
        <v>36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4">
        <v>45951.0</v>
      </c>
      <c r="C9" s="12" t="s">
        <v>89</v>
      </c>
      <c r="D9" s="72" t="s">
        <v>78</v>
      </c>
      <c r="E9" s="45" t="s">
        <v>68</v>
      </c>
      <c r="F9" s="17">
        <v>1.0</v>
      </c>
      <c r="G9" s="93" t="s">
        <v>24</v>
      </c>
      <c r="H9" s="17">
        <v>9.0</v>
      </c>
      <c r="I9" s="45" t="s">
        <v>31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63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4"/>
      <c r="X9" s="64"/>
      <c r="Y9" s="64"/>
      <c r="Z9" s="64"/>
      <c r="AA9" s="53" t="s">
        <v>48</v>
      </c>
      <c r="AB9" s="71" t="s">
        <v>61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6">
        <v>2.0</v>
      </c>
      <c r="B10" s="44">
        <v>45951.0</v>
      </c>
      <c r="C10" s="12" t="s">
        <v>89</v>
      </c>
      <c r="D10" s="72" t="s">
        <v>78</v>
      </c>
      <c r="E10" s="45" t="s">
        <v>25</v>
      </c>
      <c r="F10" s="17">
        <v>14.0</v>
      </c>
      <c r="G10" s="93" t="s">
        <v>24</v>
      </c>
      <c r="H10" s="17">
        <v>3.0</v>
      </c>
      <c r="I10" s="45" t="s">
        <v>45</v>
      </c>
      <c r="J10" s="4"/>
      <c r="K10" s="4">
        <f t="shared" si="1"/>
        <v>2</v>
      </c>
      <c r="L10" s="18">
        <f t="shared" si="2"/>
        <v>0</v>
      </c>
      <c r="M10" s="4"/>
      <c r="N10" s="52">
        <v>8.0</v>
      </c>
      <c r="O10" s="69" t="s">
        <v>45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4"/>
      <c r="X10" s="64"/>
      <c r="Y10" s="64"/>
      <c r="Z10" s="64"/>
      <c r="AA10" s="53" t="s">
        <v>131</v>
      </c>
      <c r="AB10" s="71" t="s">
        <v>107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4">
        <v>45951.0</v>
      </c>
      <c r="C11" s="12" t="s">
        <v>90</v>
      </c>
      <c r="D11" s="72" t="s">
        <v>78</v>
      </c>
      <c r="E11" s="45" t="s">
        <v>23</v>
      </c>
      <c r="F11" s="17">
        <v>21.0</v>
      </c>
      <c r="G11" s="93" t="s">
        <v>24</v>
      </c>
      <c r="H11" s="17">
        <v>10.0</v>
      </c>
      <c r="I11" s="45" t="s">
        <v>63</v>
      </c>
      <c r="J11" s="4"/>
      <c r="K11" s="4">
        <f t="shared" si="1"/>
        <v>2</v>
      </c>
      <c r="L11" s="18">
        <f t="shared" si="2"/>
        <v>0</v>
      </c>
      <c r="M11" s="4"/>
      <c r="N11" s="78">
        <v>9.0</v>
      </c>
      <c r="O11" s="78" t="s">
        <v>69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4"/>
      <c r="X11" s="64"/>
      <c r="Y11" s="64"/>
      <c r="Z11" s="64"/>
      <c r="AA11" s="22">
        <v>9.0</v>
      </c>
      <c r="AB11" s="71" t="s">
        <v>130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4">
        <v>45951.0</v>
      </c>
      <c r="C12" s="12" t="s">
        <v>90</v>
      </c>
      <c r="D12" s="72" t="s">
        <v>78</v>
      </c>
      <c r="E12" s="45" t="s">
        <v>36</v>
      </c>
      <c r="F12" s="17">
        <v>12.0</v>
      </c>
      <c r="G12" s="93" t="s">
        <v>24</v>
      </c>
      <c r="H12" s="17">
        <v>4.0</v>
      </c>
      <c r="I12" s="45" t="s">
        <v>130</v>
      </c>
      <c r="J12" s="4"/>
      <c r="K12" s="4">
        <f t="shared" si="1"/>
        <v>2</v>
      </c>
      <c r="L12" s="18">
        <f t="shared" si="2"/>
        <v>0</v>
      </c>
      <c r="M12" s="4"/>
      <c r="N12" s="78">
        <v>10.0</v>
      </c>
      <c r="O12" s="78" t="s">
        <v>64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4"/>
      <c r="X12" s="64"/>
      <c r="Y12" s="64"/>
      <c r="Z12" s="64"/>
      <c r="AA12" s="22">
        <v>10.0</v>
      </c>
      <c r="AB12" s="71" t="s">
        <v>68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4">
        <v>45951.0</v>
      </c>
      <c r="C13" s="12" t="s">
        <v>53</v>
      </c>
      <c r="D13" s="72" t="s">
        <v>78</v>
      </c>
      <c r="E13" s="45" t="s">
        <v>33</v>
      </c>
      <c r="F13" s="17">
        <v>12.0</v>
      </c>
      <c r="G13" s="93" t="s">
        <v>24</v>
      </c>
      <c r="H13" s="17">
        <v>10.0</v>
      </c>
      <c r="I13" s="45" t="s">
        <v>61</v>
      </c>
      <c r="J13" s="4"/>
      <c r="K13" s="4">
        <f t="shared" si="1"/>
        <v>2</v>
      </c>
      <c r="L13" s="18">
        <f t="shared" si="2"/>
        <v>0</v>
      </c>
      <c r="M13" s="4"/>
      <c r="N13" s="78">
        <v>11.0</v>
      </c>
      <c r="O13" s="78" t="s">
        <v>39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4"/>
      <c r="X13" s="64"/>
      <c r="Y13" s="64"/>
      <c r="Z13" s="64"/>
      <c r="AA13" s="22">
        <v>11.0</v>
      </c>
      <c r="AB13" s="71" t="s">
        <v>45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4">
        <v>45951.0</v>
      </c>
      <c r="C14" s="12" t="s">
        <v>53</v>
      </c>
      <c r="D14" s="72" t="s">
        <v>78</v>
      </c>
      <c r="E14" s="14" t="s">
        <v>132</v>
      </c>
      <c r="F14" s="106">
        <v>0.0</v>
      </c>
      <c r="G14" s="93" t="s">
        <v>24</v>
      </c>
      <c r="H14" s="106">
        <v>21.0</v>
      </c>
      <c r="I14" s="45" t="s">
        <v>31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107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4"/>
      <c r="X14" s="64"/>
      <c r="Y14" s="64"/>
      <c r="Z14" s="64"/>
      <c r="AA14" s="22">
        <v>12.0</v>
      </c>
      <c r="AB14" s="71" t="s">
        <v>63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4">
        <v>45951.0</v>
      </c>
      <c r="C15" s="12" t="s">
        <v>92</v>
      </c>
      <c r="D15" s="72" t="s">
        <v>78</v>
      </c>
      <c r="E15" s="45" t="s">
        <v>39</v>
      </c>
      <c r="F15" s="17">
        <v>1.0</v>
      </c>
      <c r="G15" s="93" t="s">
        <v>24</v>
      </c>
      <c r="H15" s="17">
        <v>13.0</v>
      </c>
      <c r="I15" s="45" t="s">
        <v>68</v>
      </c>
      <c r="J15" s="4"/>
      <c r="K15" s="4">
        <f t="shared" si="1"/>
        <v>0</v>
      </c>
      <c r="L15" s="18">
        <f t="shared" si="2"/>
        <v>2</v>
      </c>
      <c r="M15" s="4"/>
      <c r="N15" s="107">
        <v>13.0</v>
      </c>
      <c r="O15" s="107" t="s">
        <v>68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4"/>
      <c r="X15" s="64"/>
      <c r="Y15" s="64"/>
      <c r="Z15" s="64"/>
      <c r="AA15" s="22">
        <v>13.0</v>
      </c>
      <c r="AB15" s="71" t="s">
        <v>39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4">
        <v>45951.0</v>
      </c>
      <c r="C16" s="12" t="s">
        <v>92</v>
      </c>
      <c r="D16" s="72" t="s">
        <v>78</v>
      </c>
      <c r="E16" s="45" t="s">
        <v>64</v>
      </c>
      <c r="F16" s="17">
        <v>6.0</v>
      </c>
      <c r="G16" s="93" t="s">
        <v>24</v>
      </c>
      <c r="H16" s="17">
        <v>2.0</v>
      </c>
      <c r="I16" s="45" t="s">
        <v>107</v>
      </c>
      <c r="J16" s="4"/>
      <c r="K16" s="4">
        <f t="shared" si="1"/>
        <v>2</v>
      </c>
      <c r="L16" s="18">
        <f t="shared" si="2"/>
        <v>0</v>
      </c>
      <c r="M16" s="4"/>
      <c r="N16" s="107">
        <v>14.0</v>
      </c>
      <c r="O16" s="107" t="s">
        <v>31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4"/>
      <c r="X16" s="64"/>
      <c r="Y16" s="64"/>
      <c r="Z16" s="64"/>
      <c r="AA16" s="22">
        <v>14.0</v>
      </c>
      <c r="AB16" s="71" t="s">
        <v>69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6">
        <v>3.0</v>
      </c>
      <c r="B17" s="60">
        <v>46008.0</v>
      </c>
      <c r="C17" s="12" t="s">
        <v>54</v>
      </c>
      <c r="D17" s="72" t="s">
        <v>78</v>
      </c>
      <c r="E17" s="45" t="s">
        <v>25</v>
      </c>
      <c r="F17" s="17">
        <v>15.0</v>
      </c>
      <c r="G17" s="93" t="s">
        <v>24</v>
      </c>
      <c r="H17" s="17">
        <v>20.0</v>
      </c>
      <c r="I17" s="45" t="s">
        <v>33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35" t="s">
        <v>133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60">
        <v>46008.0</v>
      </c>
      <c r="C18" s="12" t="s">
        <v>54</v>
      </c>
      <c r="D18" s="72" t="s">
        <v>78</v>
      </c>
      <c r="E18" s="45" t="s">
        <v>23</v>
      </c>
      <c r="F18" s="17">
        <v>20.0</v>
      </c>
      <c r="G18" s="93" t="s">
        <v>24</v>
      </c>
      <c r="H18" s="17">
        <v>11.0</v>
      </c>
      <c r="I18" s="45" t="s">
        <v>36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60">
        <v>46008.0</v>
      </c>
      <c r="C19" s="12" t="s">
        <v>103</v>
      </c>
      <c r="D19" s="72" t="s">
        <v>78</v>
      </c>
      <c r="E19" s="45" t="s">
        <v>61</v>
      </c>
      <c r="F19" s="17">
        <v>21.0</v>
      </c>
      <c r="G19" s="93" t="s">
        <v>24</v>
      </c>
      <c r="H19" s="17">
        <v>0.0</v>
      </c>
      <c r="I19" s="14" t="s">
        <v>132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60">
        <v>46008.0</v>
      </c>
      <c r="C20" s="12" t="s">
        <v>103</v>
      </c>
      <c r="D20" s="72" t="s">
        <v>78</v>
      </c>
      <c r="E20" s="45" t="s">
        <v>130</v>
      </c>
      <c r="F20" s="17">
        <v>14.0</v>
      </c>
      <c r="G20" s="93" t="s">
        <v>24</v>
      </c>
      <c r="H20" s="17">
        <v>4.0</v>
      </c>
      <c r="I20" s="45" t="s">
        <v>63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108" t="s">
        <v>98</v>
      </c>
      <c r="AB20" s="83"/>
      <c r="AC20" s="83"/>
      <c r="AD20" s="83"/>
      <c r="AE20" s="83"/>
      <c r="AF20" s="83"/>
      <c r="AG20" s="83"/>
      <c r="AH20" s="83"/>
      <c r="AI20" s="84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60">
        <v>46008.0</v>
      </c>
      <c r="C21" s="12" t="s">
        <v>94</v>
      </c>
      <c r="D21" s="72" t="s">
        <v>78</v>
      </c>
      <c r="E21" s="45" t="s">
        <v>64</v>
      </c>
      <c r="F21" s="106">
        <v>4.0</v>
      </c>
      <c r="G21" s="93" t="s">
        <v>24</v>
      </c>
      <c r="H21" s="106">
        <v>3.0</v>
      </c>
      <c r="I21" s="45" t="s">
        <v>68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85"/>
      <c r="AB21" s="86"/>
      <c r="AC21" s="86"/>
      <c r="AD21" s="86"/>
      <c r="AE21" s="86"/>
      <c r="AF21" s="86"/>
      <c r="AG21" s="86"/>
      <c r="AH21" s="86"/>
      <c r="AI21" s="8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60">
        <v>46008.0</v>
      </c>
      <c r="C22" s="12" t="s">
        <v>51</v>
      </c>
      <c r="D22" s="72" t="s">
        <v>78</v>
      </c>
      <c r="E22" s="45" t="s">
        <v>45</v>
      </c>
      <c r="F22" s="17">
        <v>6.0</v>
      </c>
      <c r="G22" s="93" t="s">
        <v>24</v>
      </c>
      <c r="H22" s="17">
        <v>0.0</v>
      </c>
      <c r="I22" s="45" t="s">
        <v>39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5" t="s">
        <v>11</v>
      </c>
      <c r="AB22" s="5" t="s">
        <v>12</v>
      </c>
      <c r="AC22" s="5" t="s">
        <v>13</v>
      </c>
      <c r="AD22" s="5" t="s">
        <v>14</v>
      </c>
      <c r="AE22" s="5" t="s">
        <v>15</v>
      </c>
      <c r="AF22" s="5" t="s">
        <v>16</v>
      </c>
      <c r="AG22" s="5" t="s">
        <v>81</v>
      </c>
      <c r="AH22" s="5" t="s">
        <v>82</v>
      </c>
      <c r="AI22" s="5" t="s">
        <v>83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60">
        <v>46008.0</v>
      </c>
      <c r="C23" s="12" t="s">
        <v>97</v>
      </c>
      <c r="D23" s="72" t="s">
        <v>78</v>
      </c>
      <c r="E23" s="45" t="s">
        <v>107</v>
      </c>
      <c r="F23" s="17">
        <v>5.0</v>
      </c>
      <c r="G23" s="93" t="s">
        <v>24</v>
      </c>
      <c r="H23" s="17">
        <v>16.0</v>
      </c>
      <c r="I23" s="45" t="s">
        <v>31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22" t="s">
        <v>29</v>
      </c>
      <c r="AB23" s="71" t="s">
        <v>23</v>
      </c>
      <c r="AC23" s="23">
        <v>12.0</v>
      </c>
      <c r="AD23" s="23">
        <v>6.0</v>
      </c>
      <c r="AE23" s="23">
        <v>0.0</v>
      </c>
      <c r="AF23" s="24">
        <v>1.0</v>
      </c>
      <c r="AG23" s="23">
        <v>127.0</v>
      </c>
      <c r="AH23" s="24">
        <v>58.0</v>
      </c>
      <c r="AI23" s="23">
        <v>69.0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6">
        <v>4.0</v>
      </c>
      <c r="B24" s="44">
        <v>46072.0</v>
      </c>
      <c r="C24" s="39" t="s">
        <v>51</v>
      </c>
      <c r="D24" s="12" t="s">
        <v>78</v>
      </c>
      <c r="E24" s="45" t="s">
        <v>25</v>
      </c>
      <c r="F24" s="17">
        <v>21.0</v>
      </c>
      <c r="G24" s="93" t="s">
        <v>24</v>
      </c>
      <c r="H24" s="17">
        <v>8.0</v>
      </c>
      <c r="I24" s="45" t="s">
        <v>36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22" t="s">
        <v>34</v>
      </c>
      <c r="AB24" s="71" t="s">
        <v>33</v>
      </c>
      <c r="AC24" s="23">
        <v>12.0</v>
      </c>
      <c r="AD24" s="23">
        <v>6.0</v>
      </c>
      <c r="AE24" s="23">
        <v>0.0</v>
      </c>
      <c r="AF24" s="24">
        <v>1.0</v>
      </c>
      <c r="AG24" s="23">
        <v>107.0</v>
      </c>
      <c r="AH24" s="24">
        <v>55.0</v>
      </c>
      <c r="AI24" s="23">
        <v>52.0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4">
        <v>46072.0</v>
      </c>
      <c r="C25" s="39" t="s">
        <v>97</v>
      </c>
      <c r="D25" s="12" t="s">
        <v>78</v>
      </c>
      <c r="E25" s="45" t="s">
        <v>23</v>
      </c>
      <c r="F25" s="17">
        <v>13.0</v>
      </c>
      <c r="G25" s="93" t="s">
        <v>24</v>
      </c>
      <c r="H25" s="17">
        <v>17.0</v>
      </c>
      <c r="I25" s="45" t="s">
        <v>33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22" t="s">
        <v>38</v>
      </c>
      <c r="AB25" s="71" t="s">
        <v>64</v>
      </c>
      <c r="AC25" s="23">
        <v>12.0</v>
      </c>
      <c r="AD25" s="23">
        <v>6.0</v>
      </c>
      <c r="AE25" s="23">
        <v>0.0</v>
      </c>
      <c r="AF25" s="24">
        <v>1.0</v>
      </c>
      <c r="AG25" s="23">
        <v>75.0</v>
      </c>
      <c r="AH25" s="24">
        <v>24.0</v>
      </c>
      <c r="AI25" s="23">
        <v>51.0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4">
        <v>46072.0</v>
      </c>
      <c r="C26" s="39" t="s">
        <v>87</v>
      </c>
      <c r="D26" s="12" t="s">
        <v>78</v>
      </c>
      <c r="E26" s="45" t="s">
        <v>61</v>
      </c>
      <c r="F26" s="17">
        <v>7.0</v>
      </c>
      <c r="G26" s="93" t="s">
        <v>24</v>
      </c>
      <c r="H26" s="17">
        <v>5.0</v>
      </c>
      <c r="I26" s="45" t="s">
        <v>31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53" t="s">
        <v>41</v>
      </c>
      <c r="AB26" s="71" t="s">
        <v>25</v>
      </c>
      <c r="AC26" s="23">
        <v>12.0</v>
      </c>
      <c r="AD26" s="23">
        <v>6.0</v>
      </c>
      <c r="AE26" s="23">
        <v>0.0</v>
      </c>
      <c r="AF26" s="24">
        <v>1.0</v>
      </c>
      <c r="AG26" s="23">
        <v>91.0</v>
      </c>
      <c r="AH26" s="24">
        <v>50.0</v>
      </c>
      <c r="AI26" s="23">
        <v>41.0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4">
        <v>46072.0</v>
      </c>
      <c r="C27" s="12" t="s">
        <v>55</v>
      </c>
      <c r="D27" s="12" t="s">
        <v>78</v>
      </c>
      <c r="E27" s="45" t="s">
        <v>130</v>
      </c>
      <c r="F27" s="17">
        <v>9.0</v>
      </c>
      <c r="G27" s="93" t="s">
        <v>24</v>
      </c>
      <c r="H27" s="17">
        <v>10.0</v>
      </c>
      <c r="I27" s="45" t="s">
        <v>68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53" t="s">
        <v>44</v>
      </c>
      <c r="AB27" s="109" t="s">
        <v>36</v>
      </c>
      <c r="AC27" s="23">
        <v>8.0</v>
      </c>
      <c r="AD27" s="23">
        <v>4.0</v>
      </c>
      <c r="AE27" s="23">
        <v>0.0</v>
      </c>
      <c r="AF27" s="24">
        <v>3.0</v>
      </c>
      <c r="AG27" s="23">
        <v>76.0</v>
      </c>
      <c r="AH27" s="24">
        <v>61.0</v>
      </c>
      <c r="AI27" s="23">
        <v>15.0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4">
        <v>46072.0</v>
      </c>
      <c r="C28" s="67" t="s">
        <v>84</v>
      </c>
      <c r="D28" s="12" t="s">
        <v>78</v>
      </c>
      <c r="E28" s="45" t="s">
        <v>63</v>
      </c>
      <c r="F28" s="106">
        <v>12.0</v>
      </c>
      <c r="G28" s="93" t="s">
        <v>24</v>
      </c>
      <c r="H28" s="106">
        <v>9.0</v>
      </c>
      <c r="I28" s="45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53" t="s">
        <v>47</v>
      </c>
      <c r="AB28" s="109" t="s">
        <v>31</v>
      </c>
      <c r="AC28" s="23">
        <v>8.0</v>
      </c>
      <c r="AD28" s="23">
        <v>4.0</v>
      </c>
      <c r="AE28" s="23">
        <v>0.0</v>
      </c>
      <c r="AF28" s="24">
        <v>3.0</v>
      </c>
      <c r="AG28" s="23">
        <v>81.0</v>
      </c>
      <c r="AH28" s="24">
        <v>46.0</v>
      </c>
      <c r="AI28" s="23">
        <v>35.0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4">
        <v>46072.0</v>
      </c>
      <c r="C29" s="12" t="s">
        <v>86</v>
      </c>
      <c r="D29" s="12" t="s">
        <v>78</v>
      </c>
      <c r="E29" s="45" t="s">
        <v>45</v>
      </c>
      <c r="F29" s="17">
        <v>2.0</v>
      </c>
      <c r="G29" s="93" t="s">
        <v>24</v>
      </c>
      <c r="H29" s="17">
        <v>14.0</v>
      </c>
      <c r="I29" s="45" t="s">
        <v>107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53" t="s">
        <v>48</v>
      </c>
      <c r="AB29" s="71" t="s">
        <v>61</v>
      </c>
      <c r="AC29" s="23">
        <v>6.0</v>
      </c>
      <c r="AD29" s="23">
        <v>3.0</v>
      </c>
      <c r="AE29" s="23">
        <v>0.0</v>
      </c>
      <c r="AF29" s="24">
        <v>4.0</v>
      </c>
      <c r="AG29" s="23">
        <v>73.0</v>
      </c>
      <c r="AH29" s="24">
        <v>49.0</v>
      </c>
      <c r="AI29" s="23">
        <v>24.0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4">
        <v>46072.0</v>
      </c>
      <c r="C30" s="12" t="s">
        <v>52</v>
      </c>
      <c r="D30" s="12" t="s">
        <v>78</v>
      </c>
      <c r="E30" s="110" t="s">
        <v>132</v>
      </c>
      <c r="F30" s="17">
        <v>0.0</v>
      </c>
      <c r="G30" s="93" t="s">
        <v>24</v>
      </c>
      <c r="H30" s="17">
        <v>21.0</v>
      </c>
      <c r="I30" s="45" t="s">
        <v>39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53" t="s">
        <v>131</v>
      </c>
      <c r="AB30" s="71" t="s">
        <v>107</v>
      </c>
      <c r="AC30" s="23">
        <v>6.0</v>
      </c>
      <c r="AD30" s="23">
        <v>3.0</v>
      </c>
      <c r="AE30" s="23">
        <v>0.0</v>
      </c>
      <c r="AF30" s="24">
        <v>4.0</v>
      </c>
      <c r="AG30" s="23">
        <v>54.0</v>
      </c>
      <c r="AH30" s="24">
        <v>54.0</v>
      </c>
      <c r="AI30" s="23">
        <v>0.0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6">
        <v>5.0</v>
      </c>
      <c r="B31" s="44">
        <v>46072.0</v>
      </c>
      <c r="C31" s="67" t="s">
        <v>89</v>
      </c>
      <c r="D31" s="12" t="s">
        <v>78</v>
      </c>
      <c r="E31" s="45" t="s">
        <v>25</v>
      </c>
      <c r="F31" s="17">
        <v>12.0</v>
      </c>
      <c r="G31" s="93" t="s">
        <v>24</v>
      </c>
      <c r="H31" s="17">
        <v>9.0</v>
      </c>
      <c r="I31" s="45" t="s">
        <v>31</v>
      </c>
      <c r="J31" s="64"/>
      <c r="K31" s="4">
        <f t="shared" si="1"/>
        <v>2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22">
        <v>9.0</v>
      </c>
      <c r="AB31" s="71" t="s">
        <v>130</v>
      </c>
      <c r="AC31" s="23">
        <v>6.0</v>
      </c>
      <c r="AD31" s="23">
        <v>3.0</v>
      </c>
      <c r="AE31" s="23">
        <v>0.0</v>
      </c>
      <c r="AF31" s="24">
        <v>4.0</v>
      </c>
      <c r="AG31" s="23">
        <v>64.0</v>
      </c>
      <c r="AH31" s="24">
        <v>71.0</v>
      </c>
      <c r="AI31" s="23">
        <v>-7.0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4">
        <v>46072.0</v>
      </c>
      <c r="C32" s="67" t="s">
        <v>90</v>
      </c>
      <c r="D32" s="12" t="s">
        <v>78</v>
      </c>
      <c r="E32" s="45" t="s">
        <v>23</v>
      </c>
      <c r="F32" s="17">
        <v>21.0</v>
      </c>
      <c r="G32" s="93" t="s">
        <v>24</v>
      </c>
      <c r="H32" s="17">
        <v>7.0</v>
      </c>
      <c r="I32" s="45" t="s">
        <v>68</v>
      </c>
      <c r="J32" s="64"/>
      <c r="K32" s="4">
        <f t="shared" si="1"/>
        <v>2</v>
      </c>
      <c r="L32" s="18">
        <f t="shared" si="2"/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22">
        <v>10.0</v>
      </c>
      <c r="AB32" s="71" t="s">
        <v>68</v>
      </c>
      <c r="AC32" s="23">
        <v>6.0</v>
      </c>
      <c r="AD32" s="23">
        <v>3.0</v>
      </c>
      <c r="AE32" s="23">
        <v>0.0</v>
      </c>
      <c r="AF32" s="24">
        <v>4.0</v>
      </c>
      <c r="AG32" s="23">
        <v>44.0</v>
      </c>
      <c r="AH32" s="24">
        <v>62.0</v>
      </c>
      <c r="AI32" s="23">
        <v>-18.0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4">
        <v>46072.0</v>
      </c>
      <c r="C33" s="67" t="s">
        <v>53</v>
      </c>
      <c r="D33" s="12" t="s">
        <v>78</v>
      </c>
      <c r="E33" s="45" t="s">
        <v>36</v>
      </c>
      <c r="F33" s="17">
        <v>21.0</v>
      </c>
      <c r="G33" s="93" t="s">
        <v>24</v>
      </c>
      <c r="H33" s="17">
        <v>0.0</v>
      </c>
      <c r="I33" s="14" t="s">
        <v>132</v>
      </c>
      <c r="J33" s="64"/>
      <c r="K33" s="4">
        <f t="shared" si="1"/>
        <v>2</v>
      </c>
      <c r="L33" s="18">
        <f t="shared" si="2"/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22">
        <v>11.0</v>
      </c>
      <c r="AB33" s="71" t="s">
        <v>45</v>
      </c>
      <c r="AC33" s="23">
        <v>4.0</v>
      </c>
      <c r="AD33" s="23">
        <v>2.0</v>
      </c>
      <c r="AE33" s="23">
        <v>0.0</v>
      </c>
      <c r="AF33" s="24">
        <v>5.0</v>
      </c>
      <c r="AG33" s="23">
        <v>40.0</v>
      </c>
      <c r="AH33" s="24">
        <v>74.0</v>
      </c>
      <c r="AI33" s="23">
        <v>-34.0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4">
        <v>46072.0</v>
      </c>
      <c r="C34" s="67" t="s">
        <v>92</v>
      </c>
      <c r="D34" s="12" t="s">
        <v>78</v>
      </c>
      <c r="E34" s="45" t="s">
        <v>33</v>
      </c>
      <c r="F34" s="17">
        <v>21.0</v>
      </c>
      <c r="G34" s="93" t="s">
        <v>24</v>
      </c>
      <c r="H34" s="17">
        <v>2.0</v>
      </c>
      <c r="I34" s="45" t="s">
        <v>39</v>
      </c>
      <c r="J34" s="64"/>
      <c r="K34" s="4">
        <f t="shared" si="1"/>
        <v>2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22">
        <v>12.0</v>
      </c>
      <c r="AB34" s="71" t="s">
        <v>63</v>
      </c>
      <c r="AC34" s="23">
        <v>4.0</v>
      </c>
      <c r="AD34" s="23">
        <v>2.0</v>
      </c>
      <c r="AE34" s="23">
        <v>0.0</v>
      </c>
      <c r="AF34" s="24">
        <v>5.0</v>
      </c>
      <c r="AG34" s="23">
        <v>50.0</v>
      </c>
      <c r="AH34" s="24">
        <v>93.0</v>
      </c>
      <c r="AI34" s="23">
        <v>-43.0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4">
        <v>46072.0</v>
      </c>
      <c r="C35" s="12" t="s">
        <v>93</v>
      </c>
      <c r="D35" s="12" t="s">
        <v>78</v>
      </c>
      <c r="E35" s="45" t="s">
        <v>61</v>
      </c>
      <c r="F35" s="106">
        <v>6.0</v>
      </c>
      <c r="G35" s="93" t="s">
        <v>24</v>
      </c>
      <c r="H35" s="106">
        <v>12.0</v>
      </c>
      <c r="I35" s="45" t="s">
        <v>64</v>
      </c>
      <c r="J35" s="64"/>
      <c r="K35" s="4">
        <f t="shared" si="1"/>
        <v>0</v>
      </c>
      <c r="L35" s="18">
        <f t="shared" si="2"/>
        <v>2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22">
        <v>13.0</v>
      </c>
      <c r="AB35" s="71" t="s">
        <v>39</v>
      </c>
      <c r="AC35" s="23">
        <v>2.0</v>
      </c>
      <c r="AD35" s="23">
        <v>1.0</v>
      </c>
      <c r="AE35" s="23">
        <v>0.0</v>
      </c>
      <c r="AF35" s="24">
        <v>6.0</v>
      </c>
      <c r="AG35" s="23">
        <v>35.0</v>
      </c>
      <c r="AH35" s="24">
        <v>73.0</v>
      </c>
      <c r="AI35" s="23">
        <v>-38.0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4">
        <v>46099.0</v>
      </c>
      <c r="C36" s="67" t="s">
        <v>84</v>
      </c>
      <c r="D36" s="12" t="s">
        <v>78</v>
      </c>
      <c r="E36" s="45" t="s">
        <v>130</v>
      </c>
      <c r="F36" s="17">
        <v>10.0</v>
      </c>
      <c r="G36" s="93" t="s">
        <v>24</v>
      </c>
      <c r="H36" s="17">
        <v>11.0</v>
      </c>
      <c r="I36" s="45" t="s">
        <v>107</v>
      </c>
      <c r="J36" s="64"/>
      <c r="K36" s="4">
        <f t="shared" si="1"/>
        <v>0</v>
      </c>
      <c r="L36" s="18">
        <f t="shared" si="2"/>
        <v>2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111">
        <v>14.0</v>
      </c>
      <c r="AB36" s="112" t="s">
        <v>69</v>
      </c>
      <c r="AC36" s="113">
        <v>0.0</v>
      </c>
      <c r="AD36" s="113">
        <v>0.0</v>
      </c>
      <c r="AE36" s="113">
        <v>0.0</v>
      </c>
      <c r="AF36" s="114">
        <v>1.0</v>
      </c>
      <c r="AG36" s="113">
        <v>0.0</v>
      </c>
      <c r="AH36" s="114">
        <v>21.0</v>
      </c>
      <c r="AI36" s="113">
        <v>-21.0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4">
        <v>46148.0</v>
      </c>
      <c r="C37" s="12" t="s">
        <v>52</v>
      </c>
      <c r="D37" s="12" t="s">
        <v>78</v>
      </c>
      <c r="E37" s="45" t="s">
        <v>63</v>
      </c>
      <c r="F37" s="17">
        <v>12.0</v>
      </c>
      <c r="G37" s="93" t="s">
        <v>24</v>
      </c>
      <c r="H37" s="17">
        <v>5.0</v>
      </c>
      <c r="I37" s="45" t="s">
        <v>45</v>
      </c>
      <c r="J37" s="64"/>
      <c r="K37" s="4">
        <f t="shared" si="1"/>
        <v>2</v>
      </c>
      <c r="L37" s="18">
        <f t="shared" si="2"/>
        <v>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35" t="s">
        <v>134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6">
        <v>6.0</v>
      </c>
      <c r="B38" s="44">
        <v>46099.0</v>
      </c>
      <c r="C38" s="12" t="s">
        <v>86</v>
      </c>
      <c r="D38" s="12" t="s">
        <v>78</v>
      </c>
      <c r="E38" s="45" t="s">
        <v>25</v>
      </c>
      <c r="F38" s="17">
        <v>10.0</v>
      </c>
      <c r="G38" s="93" t="s">
        <v>24</v>
      </c>
      <c r="H38" s="17">
        <v>1.0</v>
      </c>
      <c r="I38" s="45" t="s">
        <v>68</v>
      </c>
      <c r="J38" s="64"/>
      <c r="K38" s="4">
        <f t="shared" si="1"/>
        <v>2</v>
      </c>
      <c r="L38" s="18">
        <f t="shared" si="2"/>
        <v>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4"/>
      <c r="AD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4">
        <v>46099.0</v>
      </c>
      <c r="C39" s="12" t="s">
        <v>52</v>
      </c>
      <c r="D39" s="12" t="s">
        <v>78</v>
      </c>
      <c r="E39" s="45" t="s">
        <v>23</v>
      </c>
      <c r="F39" s="17">
        <v>10.0</v>
      </c>
      <c r="G39" s="93" t="s">
        <v>24</v>
      </c>
      <c r="H39" s="17">
        <v>8.0</v>
      </c>
      <c r="I39" s="45" t="s">
        <v>107</v>
      </c>
      <c r="J39" s="64"/>
      <c r="K39" s="4">
        <f t="shared" si="1"/>
        <v>2</v>
      </c>
      <c r="L39" s="18">
        <f t="shared" si="2"/>
        <v>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4">
        <v>46099.0</v>
      </c>
      <c r="C40" s="67" t="s">
        <v>89</v>
      </c>
      <c r="D40" s="12" t="s">
        <v>78</v>
      </c>
      <c r="E40" s="45" t="s">
        <v>36</v>
      </c>
      <c r="F40" s="17">
        <v>10.0</v>
      </c>
      <c r="G40" s="93" t="s">
        <v>24</v>
      </c>
      <c r="H40" s="17">
        <v>1.0</v>
      </c>
      <c r="I40" s="45" t="s">
        <v>39</v>
      </c>
      <c r="J40" s="64"/>
      <c r="K40" s="4">
        <f t="shared" si="1"/>
        <v>2</v>
      </c>
      <c r="L40" s="18">
        <f t="shared" si="2"/>
        <v>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4">
        <v>46099.0</v>
      </c>
      <c r="C41" s="67" t="s">
        <v>90</v>
      </c>
      <c r="D41" s="12" t="s">
        <v>78</v>
      </c>
      <c r="E41" s="45" t="s">
        <v>33</v>
      </c>
      <c r="F41" s="17">
        <v>1.0</v>
      </c>
      <c r="G41" s="93" t="s">
        <v>24</v>
      </c>
      <c r="H41" s="17">
        <v>12.0</v>
      </c>
      <c r="I41" s="45" t="s">
        <v>64</v>
      </c>
      <c r="J41" s="64"/>
      <c r="K41" s="4">
        <f t="shared" si="1"/>
        <v>0</v>
      </c>
      <c r="L41" s="18">
        <f t="shared" si="2"/>
        <v>2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4">
        <v>46099.0</v>
      </c>
      <c r="C42" s="67" t="s">
        <v>53</v>
      </c>
      <c r="D42" s="12" t="s">
        <v>78</v>
      </c>
      <c r="E42" s="45" t="s">
        <v>61</v>
      </c>
      <c r="F42" s="106">
        <v>6.0</v>
      </c>
      <c r="G42" s="93" t="s">
        <v>24</v>
      </c>
      <c r="H42" s="106">
        <v>8.0</v>
      </c>
      <c r="I42" s="45" t="s">
        <v>130</v>
      </c>
      <c r="J42" s="64"/>
      <c r="K42" s="4">
        <f t="shared" si="1"/>
        <v>0</v>
      </c>
      <c r="L42" s="18">
        <f t="shared" si="2"/>
        <v>2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4">
        <v>46099.0</v>
      </c>
      <c r="C43" s="67" t="s">
        <v>92</v>
      </c>
      <c r="D43" s="12" t="s">
        <v>78</v>
      </c>
      <c r="E43" s="14" t="s">
        <v>132</v>
      </c>
      <c r="F43" s="17">
        <v>0.0</v>
      </c>
      <c r="G43" s="93" t="s">
        <v>24</v>
      </c>
      <c r="H43" s="17">
        <v>21.0</v>
      </c>
      <c r="I43" s="45" t="s">
        <v>45</v>
      </c>
      <c r="J43" s="64"/>
      <c r="K43" s="4">
        <f t="shared" si="1"/>
        <v>0</v>
      </c>
      <c r="L43" s="18">
        <f t="shared" si="2"/>
        <v>2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4">
        <v>46099.0</v>
      </c>
      <c r="C44" s="12" t="s">
        <v>93</v>
      </c>
      <c r="D44" s="12" t="s">
        <v>78</v>
      </c>
      <c r="E44" s="14" t="s">
        <v>63</v>
      </c>
      <c r="F44" s="17">
        <v>0.0</v>
      </c>
      <c r="G44" s="93" t="s">
        <v>24</v>
      </c>
      <c r="H44" s="17">
        <v>21.0</v>
      </c>
      <c r="I44" s="45" t="s">
        <v>31</v>
      </c>
      <c r="J44" s="64"/>
      <c r="K44" s="4">
        <f t="shared" si="1"/>
        <v>0</v>
      </c>
      <c r="L44" s="18">
        <f t="shared" si="2"/>
        <v>2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6">
        <v>7.0</v>
      </c>
      <c r="B45" s="44">
        <v>46148.0</v>
      </c>
      <c r="C45" s="12" t="s">
        <v>51</v>
      </c>
      <c r="D45" s="12" t="s">
        <v>78</v>
      </c>
      <c r="E45" s="45" t="s">
        <v>25</v>
      </c>
      <c r="F45" s="17">
        <v>7.0</v>
      </c>
      <c r="G45" s="93" t="s">
        <v>24</v>
      </c>
      <c r="H45" s="17">
        <v>5.0</v>
      </c>
      <c r="I45" s="45" t="s">
        <v>107</v>
      </c>
      <c r="J45" s="64"/>
      <c r="K45" s="4">
        <f t="shared" si="1"/>
        <v>2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4">
        <v>46148.0</v>
      </c>
      <c r="C46" s="12" t="s">
        <v>97</v>
      </c>
      <c r="D46" s="12" t="s">
        <v>78</v>
      </c>
      <c r="E46" s="45" t="s">
        <v>23</v>
      </c>
      <c r="F46" s="17">
        <v>21.0</v>
      </c>
      <c r="G46" s="93" t="s">
        <v>24</v>
      </c>
      <c r="H46" s="17">
        <v>0.0</v>
      </c>
      <c r="I46" s="45" t="s">
        <v>31</v>
      </c>
      <c r="J46" s="64"/>
      <c r="K46" s="4">
        <f t="shared" si="1"/>
        <v>2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4">
        <v>46148.0</v>
      </c>
      <c r="C47" s="12" t="s">
        <v>87</v>
      </c>
      <c r="D47" s="12" t="s">
        <v>78</v>
      </c>
      <c r="E47" s="45" t="s">
        <v>36</v>
      </c>
      <c r="F47" s="17">
        <v>0.0</v>
      </c>
      <c r="G47" s="93" t="s">
        <v>24</v>
      </c>
      <c r="H47" s="17">
        <v>11.0</v>
      </c>
      <c r="I47" s="45" t="s">
        <v>64</v>
      </c>
      <c r="J47" s="64"/>
      <c r="K47" s="4">
        <f t="shared" si="1"/>
        <v>0</v>
      </c>
      <c r="L47" s="18">
        <f t="shared" si="2"/>
        <v>2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15"/>
      <c r="C48" s="99"/>
      <c r="D48" s="99"/>
      <c r="E48" s="45" t="s">
        <v>33</v>
      </c>
      <c r="F48" s="17">
        <v>21.0</v>
      </c>
      <c r="G48" s="93" t="s">
        <v>24</v>
      </c>
      <c r="H48" s="17">
        <v>0.0</v>
      </c>
      <c r="I48" s="14" t="s">
        <v>132</v>
      </c>
      <c r="J48" s="64"/>
      <c r="K48" s="4">
        <f t="shared" si="1"/>
        <v>2</v>
      </c>
      <c r="L48" s="18">
        <f t="shared" si="2"/>
        <v>0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4">
        <v>46148.0</v>
      </c>
      <c r="C49" s="12" t="s">
        <v>55</v>
      </c>
      <c r="D49" s="12" t="s">
        <v>78</v>
      </c>
      <c r="E49" s="45" t="s">
        <v>61</v>
      </c>
      <c r="F49" s="106">
        <v>19.0</v>
      </c>
      <c r="G49" s="93" t="s">
        <v>24</v>
      </c>
      <c r="H49" s="106">
        <v>0.0</v>
      </c>
      <c r="I49" s="45" t="s">
        <v>45</v>
      </c>
      <c r="J49" s="64"/>
      <c r="K49" s="4">
        <f t="shared" si="1"/>
        <v>2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4">
        <v>46148.0</v>
      </c>
      <c r="C50" s="12" t="s">
        <v>84</v>
      </c>
      <c r="D50" s="12" t="s">
        <v>78</v>
      </c>
      <c r="E50" s="45" t="s">
        <v>130</v>
      </c>
      <c r="F50" s="17">
        <v>14.0</v>
      </c>
      <c r="G50" s="93" t="s">
        <v>24</v>
      </c>
      <c r="H50" s="17">
        <v>7.0</v>
      </c>
      <c r="I50" s="45" t="s">
        <v>39</v>
      </c>
      <c r="J50" s="64"/>
      <c r="K50" s="4">
        <f t="shared" si="1"/>
        <v>2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4">
        <v>46148.0</v>
      </c>
      <c r="C51" s="12" t="s">
        <v>86</v>
      </c>
      <c r="D51" s="12" t="s">
        <v>78</v>
      </c>
      <c r="E51" s="45" t="s">
        <v>63</v>
      </c>
      <c r="F51" s="17">
        <v>8.0</v>
      </c>
      <c r="G51" s="93" t="s">
        <v>24</v>
      </c>
      <c r="H51" s="17">
        <v>9.0</v>
      </c>
      <c r="I51" s="45" t="s">
        <v>68</v>
      </c>
      <c r="J51" s="64"/>
      <c r="K51" s="4">
        <f t="shared" si="1"/>
        <v>0</v>
      </c>
      <c r="L51" s="18">
        <f t="shared" si="2"/>
        <v>2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102"/>
      <c r="B52" s="37"/>
      <c r="C52" s="37"/>
      <c r="D52" s="37"/>
      <c r="E52" s="37"/>
      <c r="F52" s="37"/>
      <c r="G52" s="37"/>
      <c r="H52" s="37"/>
      <c r="I52" s="37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37"/>
      <c r="AB52" s="64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102"/>
      <c r="B53" s="37"/>
      <c r="C53" s="37"/>
      <c r="D53" s="37"/>
      <c r="E53" s="37"/>
      <c r="F53" s="37"/>
      <c r="G53" s="37"/>
      <c r="H53" s="37"/>
      <c r="I53" s="37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37"/>
      <c r="AB53" s="64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102"/>
      <c r="B54" s="37"/>
      <c r="C54" s="37"/>
      <c r="D54" s="37"/>
      <c r="E54" s="37"/>
      <c r="F54" s="37"/>
      <c r="G54" s="37"/>
      <c r="H54" s="37"/>
      <c r="I54" s="37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37"/>
      <c r="AB54" s="64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102"/>
      <c r="B55" s="37"/>
      <c r="C55" s="37"/>
      <c r="D55" s="37"/>
      <c r="E55" s="37"/>
      <c r="F55" s="37"/>
      <c r="G55" s="37"/>
      <c r="H55" s="37"/>
      <c r="I55" s="37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37"/>
      <c r="AB55" s="64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1" t="s">
        <v>135</v>
      </c>
      <c r="H56" s="2"/>
      <c r="I56" s="3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7"/>
      <c r="AB56" s="64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7"/>
      <c r="AB57" s="64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8" t="s">
        <v>72</v>
      </c>
      <c r="B58" s="60">
        <v>46168.0</v>
      </c>
      <c r="C58" s="12" t="s">
        <v>51</v>
      </c>
      <c r="D58" s="12" t="s">
        <v>78</v>
      </c>
      <c r="E58" s="45" t="s">
        <v>23</v>
      </c>
      <c r="F58" s="13">
        <v>18.0</v>
      </c>
      <c r="G58" s="16" t="s">
        <v>24</v>
      </c>
      <c r="H58" s="13">
        <v>5.0</v>
      </c>
      <c r="I58" s="45" t="s">
        <v>107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37"/>
      <c r="AB58" s="64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60">
        <v>46168.0</v>
      </c>
      <c r="C59" s="12" t="s">
        <v>128</v>
      </c>
      <c r="D59" s="12" t="s">
        <v>78</v>
      </c>
      <c r="E59" s="45" t="s">
        <v>33</v>
      </c>
      <c r="F59" s="13">
        <v>21.0</v>
      </c>
      <c r="G59" s="16" t="s">
        <v>24</v>
      </c>
      <c r="H59" s="13">
        <v>9.0</v>
      </c>
      <c r="I59" s="45" t="s">
        <v>61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37"/>
      <c r="AB59" s="64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60">
        <v>46168.0</v>
      </c>
      <c r="C60" s="12" t="s">
        <v>55</v>
      </c>
      <c r="D60" s="12" t="s">
        <v>78</v>
      </c>
      <c r="E60" s="45" t="s">
        <v>64</v>
      </c>
      <c r="F60" s="13">
        <v>7.0</v>
      </c>
      <c r="G60" s="16" t="s">
        <v>24</v>
      </c>
      <c r="H60" s="13">
        <v>8.0</v>
      </c>
      <c r="I60" s="45" t="s">
        <v>36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37"/>
      <c r="AB60" s="64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60">
        <v>46168.0</v>
      </c>
      <c r="C61" s="12" t="s">
        <v>74</v>
      </c>
      <c r="D61" s="12" t="s">
        <v>78</v>
      </c>
      <c r="E61" s="45" t="s">
        <v>25</v>
      </c>
      <c r="F61" s="13">
        <v>13.0</v>
      </c>
      <c r="G61" s="16" t="s">
        <v>24</v>
      </c>
      <c r="H61" s="13">
        <v>4.0</v>
      </c>
      <c r="I61" s="45" t="s">
        <v>31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37"/>
      <c r="AB61" s="64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9" t="s">
        <v>73</v>
      </c>
      <c r="B62" s="44">
        <v>46169.0</v>
      </c>
      <c r="C62" s="12" t="s">
        <v>128</v>
      </c>
      <c r="D62" s="12" t="s">
        <v>78</v>
      </c>
      <c r="E62" s="45" t="s">
        <v>23</v>
      </c>
      <c r="F62" s="13">
        <v>14.0</v>
      </c>
      <c r="G62" s="16" t="s">
        <v>24</v>
      </c>
      <c r="H62" s="13">
        <v>9.0</v>
      </c>
      <c r="I62" s="45" t="s">
        <v>25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37"/>
      <c r="AB62" s="64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44">
        <v>46169.0</v>
      </c>
      <c r="C63" s="12" t="s">
        <v>55</v>
      </c>
      <c r="D63" s="12" t="s">
        <v>78</v>
      </c>
      <c r="E63" s="45" t="s">
        <v>33</v>
      </c>
      <c r="F63" s="13">
        <v>18.0</v>
      </c>
      <c r="G63" s="16" t="s">
        <v>24</v>
      </c>
      <c r="H63" s="13">
        <v>5.0</v>
      </c>
      <c r="I63" s="45" t="s">
        <v>36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37"/>
      <c r="AB63" s="64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61" t="s">
        <v>76</v>
      </c>
      <c r="B64" s="11">
        <v>46169.0</v>
      </c>
      <c r="C64" s="12" t="s">
        <v>74</v>
      </c>
      <c r="D64" s="12" t="s">
        <v>78</v>
      </c>
      <c r="E64" s="45" t="s">
        <v>25</v>
      </c>
      <c r="F64" s="13">
        <v>11.0</v>
      </c>
      <c r="G64" s="16" t="s">
        <v>24</v>
      </c>
      <c r="H64" s="13">
        <v>5.0</v>
      </c>
      <c r="I64" s="62" t="s">
        <v>36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37"/>
      <c r="AB64" s="64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61" t="s">
        <v>79</v>
      </c>
      <c r="B65" s="11">
        <v>46169.0</v>
      </c>
      <c r="C65" s="12" t="s">
        <v>75</v>
      </c>
      <c r="D65" s="12" t="s">
        <v>78</v>
      </c>
      <c r="E65" s="45" t="s">
        <v>23</v>
      </c>
      <c r="F65" s="13">
        <v>21.0</v>
      </c>
      <c r="G65" s="16" t="s">
        <v>24</v>
      </c>
      <c r="H65" s="13">
        <v>9.0</v>
      </c>
      <c r="I65" s="45" t="s">
        <v>33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37"/>
      <c r="AB65" s="64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102"/>
      <c r="B66" s="37"/>
      <c r="C66" s="37"/>
      <c r="D66" s="37"/>
      <c r="E66" s="37"/>
      <c r="F66" s="37"/>
      <c r="G66" s="37"/>
      <c r="H66" s="37"/>
      <c r="I66" s="37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37"/>
      <c r="AB66" s="64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102"/>
      <c r="B67" s="37"/>
      <c r="C67" s="37"/>
      <c r="D67" s="37"/>
      <c r="E67" s="37"/>
      <c r="F67" s="37"/>
      <c r="G67" s="37"/>
      <c r="H67" s="37"/>
      <c r="I67" s="3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37"/>
      <c r="AB67" s="64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102"/>
      <c r="B68" s="37"/>
      <c r="C68" s="37"/>
      <c r="D68" s="37"/>
      <c r="E68" s="37"/>
      <c r="F68" s="37"/>
      <c r="G68" s="37"/>
      <c r="H68" s="37"/>
      <c r="I68" s="3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37"/>
      <c r="AB68" s="64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102"/>
      <c r="B69" s="37"/>
      <c r="C69" s="37"/>
      <c r="D69" s="37"/>
      <c r="E69" s="37"/>
      <c r="F69" s="37"/>
      <c r="G69" s="37"/>
      <c r="H69" s="37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37"/>
      <c r="AB69" s="64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102"/>
      <c r="B70" s="37"/>
      <c r="C70" s="37"/>
      <c r="D70" s="37"/>
      <c r="E70" s="37"/>
      <c r="F70" s="37"/>
      <c r="G70" s="37"/>
      <c r="H70" s="37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37"/>
      <c r="AB70" s="64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102"/>
      <c r="B71" s="37"/>
      <c r="C71" s="37"/>
      <c r="D71" s="37"/>
      <c r="E71" s="37"/>
      <c r="F71" s="37"/>
      <c r="G71" s="37"/>
      <c r="H71" s="37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37"/>
      <c r="AB71" s="64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37"/>
      <c r="AB72" s="64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102"/>
      <c r="B73" s="37"/>
      <c r="C73" s="37"/>
      <c r="D73" s="37"/>
      <c r="E73" s="37"/>
      <c r="F73" s="37"/>
      <c r="G73" s="37"/>
      <c r="H73" s="37"/>
      <c r="I73" s="37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37"/>
      <c r="AB73" s="64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102"/>
      <c r="B74" s="37"/>
      <c r="C74" s="37"/>
      <c r="D74" s="37"/>
      <c r="E74" s="37"/>
      <c r="F74" s="37"/>
      <c r="G74" s="37"/>
      <c r="H74" s="37"/>
      <c r="I74" s="37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37"/>
      <c r="AB74" s="64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102"/>
      <c r="B75" s="37"/>
      <c r="C75" s="37"/>
      <c r="D75" s="37"/>
      <c r="E75" s="37"/>
      <c r="F75" s="37"/>
      <c r="G75" s="37"/>
      <c r="H75" s="37"/>
      <c r="I75" s="37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37"/>
      <c r="AB75" s="64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102"/>
      <c r="B76" s="37"/>
      <c r="C76" s="37"/>
      <c r="D76" s="37"/>
      <c r="E76" s="37"/>
      <c r="F76" s="37"/>
      <c r="G76" s="37"/>
      <c r="H76" s="37"/>
      <c r="I76" s="3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37"/>
      <c r="AB76" s="64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102"/>
      <c r="B77" s="37"/>
      <c r="C77" s="37"/>
      <c r="D77" s="37"/>
      <c r="E77" s="37"/>
      <c r="F77" s="37"/>
      <c r="G77" s="37"/>
      <c r="H77" s="37"/>
      <c r="I77" s="37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37"/>
      <c r="AB77" s="64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102"/>
      <c r="B78" s="37"/>
      <c r="C78" s="37"/>
      <c r="D78" s="37"/>
      <c r="E78" s="37"/>
      <c r="F78" s="37"/>
      <c r="G78" s="37"/>
      <c r="H78" s="37"/>
      <c r="I78" s="37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37"/>
      <c r="AB78" s="64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102"/>
      <c r="B79" s="37"/>
      <c r="C79" s="37"/>
      <c r="D79" s="37"/>
      <c r="E79" s="37"/>
      <c r="F79" s="37"/>
      <c r="G79" s="37"/>
      <c r="H79" s="37"/>
      <c r="I79" s="37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37"/>
      <c r="AB79" s="64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102"/>
      <c r="B80" s="37"/>
      <c r="C80" s="37"/>
      <c r="D80" s="37"/>
      <c r="E80" s="37"/>
      <c r="F80" s="37"/>
      <c r="G80" s="37"/>
      <c r="H80" s="37"/>
      <c r="I80" s="3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37"/>
      <c r="AB80" s="64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102"/>
      <c r="B81" s="37"/>
      <c r="C81" s="37"/>
      <c r="D81" s="37"/>
      <c r="E81" s="37"/>
      <c r="F81" s="37"/>
      <c r="G81" s="37"/>
      <c r="H81" s="37"/>
      <c r="I81" s="37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37"/>
      <c r="AB81" s="64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102"/>
      <c r="B82" s="37"/>
      <c r="C82" s="37"/>
      <c r="D82" s="37"/>
      <c r="E82" s="37"/>
      <c r="F82" s="37"/>
      <c r="G82" s="37"/>
      <c r="H82" s="37"/>
      <c r="I82" s="37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37"/>
      <c r="AB82" s="64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37"/>
      <c r="AB83" s="64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37"/>
      <c r="AB84" s="64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37"/>
      <c r="AB85" s="64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37"/>
      <c r="AB86" s="64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37"/>
      <c r="AB87" s="64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37"/>
      <c r="AB88" s="64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37"/>
      <c r="AB89" s="64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37"/>
      <c r="AB90" s="64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37"/>
      <c r="AB91" s="64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37"/>
      <c r="AB92" s="64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37"/>
      <c r="AB93" s="64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37"/>
      <c r="AB94" s="64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37"/>
      <c r="AB95" s="64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37"/>
      <c r="AB96" s="64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37"/>
      <c r="AB97" s="64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37"/>
      <c r="AB98" s="64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37"/>
      <c r="AB99" s="64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37"/>
      <c r="AB100" s="64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37"/>
      <c r="AB101" s="64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37"/>
      <c r="AB102" s="64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37"/>
      <c r="AB103" s="64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37"/>
      <c r="AB104" s="64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37"/>
      <c r="AB105" s="64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37"/>
      <c r="AB106" s="64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37"/>
      <c r="AB107" s="64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37"/>
      <c r="AB108" s="64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37"/>
      <c r="AB109" s="64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37"/>
      <c r="AB110" s="64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37"/>
      <c r="AB111" s="64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37"/>
      <c r="AB112" s="64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37"/>
      <c r="AB113" s="64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37"/>
      <c r="AB114" s="64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37"/>
      <c r="AB115" s="64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37"/>
      <c r="AB116" s="64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37"/>
      <c r="AB117" s="64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37"/>
      <c r="AB118" s="64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37"/>
      <c r="AB119" s="64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37"/>
      <c r="AB120" s="64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37"/>
      <c r="AB121" s="64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37"/>
      <c r="AB122" s="64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37"/>
      <c r="AB123" s="64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37"/>
      <c r="AB124" s="64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37"/>
      <c r="AB125" s="64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37"/>
      <c r="AB126" s="64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37"/>
      <c r="AB127" s="64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37"/>
      <c r="AB128" s="64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37"/>
      <c r="AB129" s="64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37"/>
      <c r="AB130" s="64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37"/>
      <c r="AB131" s="64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37"/>
      <c r="AB132" s="64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37"/>
      <c r="AB133" s="64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37"/>
      <c r="AB134" s="64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37"/>
      <c r="AB135" s="64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37"/>
      <c r="AB136" s="64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37"/>
      <c r="AB137" s="64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37"/>
      <c r="AB138" s="64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37"/>
      <c r="AB139" s="64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37"/>
      <c r="AB140" s="64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37"/>
      <c r="AB141" s="64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37"/>
      <c r="AB142" s="64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37"/>
      <c r="AB143" s="64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37"/>
      <c r="AB144" s="64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37"/>
      <c r="AB145" s="64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37"/>
      <c r="AB146" s="64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37"/>
      <c r="AB147" s="64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37"/>
      <c r="AB148" s="64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37"/>
      <c r="AB149" s="64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37"/>
      <c r="AB150" s="64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37"/>
      <c r="AB151" s="64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37"/>
      <c r="AB152" s="64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37"/>
      <c r="AB153" s="64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37"/>
      <c r="AB154" s="64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37"/>
      <c r="AB155" s="64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37"/>
      <c r="AB156" s="64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37"/>
      <c r="AB157" s="64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37"/>
      <c r="AB158" s="64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37"/>
      <c r="AB159" s="64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37"/>
      <c r="AB160" s="64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37"/>
      <c r="AB161" s="64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37"/>
      <c r="AB162" s="64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37"/>
      <c r="AB163" s="64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37"/>
      <c r="AB164" s="64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37"/>
      <c r="AB165" s="64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37"/>
      <c r="AB166" s="64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37"/>
      <c r="AB167" s="64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37"/>
      <c r="AB168" s="64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37"/>
      <c r="AB169" s="64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37"/>
      <c r="AB170" s="64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37"/>
      <c r="AB171" s="64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37"/>
      <c r="AB172" s="64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37"/>
      <c r="AB173" s="64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37"/>
      <c r="AB174" s="64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37"/>
      <c r="AB175" s="64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37"/>
      <c r="AB176" s="64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37"/>
      <c r="AB177" s="64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37"/>
      <c r="AB178" s="64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37"/>
      <c r="AB179" s="64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37"/>
      <c r="AB180" s="64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37"/>
      <c r="AB181" s="64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37"/>
      <c r="AB182" s="64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37"/>
      <c r="AB183" s="64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37"/>
      <c r="AB184" s="64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37"/>
      <c r="AB185" s="64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37"/>
      <c r="AB186" s="64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37"/>
      <c r="AB187" s="64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37"/>
      <c r="AB188" s="64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37"/>
      <c r="AB189" s="64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37"/>
      <c r="AB190" s="64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37"/>
      <c r="AB191" s="64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37"/>
      <c r="AB192" s="64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37"/>
      <c r="AB193" s="64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37"/>
      <c r="AB194" s="64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37"/>
      <c r="AB195" s="64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37"/>
      <c r="AB196" s="64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37"/>
      <c r="AB197" s="64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37"/>
      <c r="AB198" s="64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37"/>
      <c r="AB199" s="64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37"/>
      <c r="AB200" s="64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37"/>
      <c r="AB201" s="64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37"/>
      <c r="AB202" s="64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37"/>
      <c r="AB203" s="64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37"/>
      <c r="AB204" s="64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37"/>
      <c r="AB205" s="64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37"/>
      <c r="AB206" s="64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37"/>
      <c r="AB207" s="64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37"/>
      <c r="AB208" s="64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37"/>
      <c r="AB209" s="64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37"/>
      <c r="AB210" s="64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37"/>
      <c r="AB211" s="64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37"/>
      <c r="AB212" s="64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37"/>
      <c r="AB213" s="64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37"/>
      <c r="AB214" s="64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37"/>
      <c r="AB215" s="64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37"/>
      <c r="AB216" s="64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37"/>
      <c r="AB217" s="64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37"/>
      <c r="AB218" s="64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37"/>
      <c r="AB219" s="64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37"/>
      <c r="AB220" s="64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37"/>
      <c r="AB221" s="64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37"/>
      <c r="AB222" s="64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37"/>
      <c r="AB223" s="64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37"/>
      <c r="AB224" s="64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37"/>
      <c r="AB225" s="64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37"/>
      <c r="AB226" s="64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37"/>
      <c r="AB227" s="64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37"/>
      <c r="AB228" s="64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37"/>
      <c r="AB229" s="64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37"/>
      <c r="AB230" s="64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37"/>
      <c r="AB231" s="64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37"/>
      <c r="AB232" s="64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37"/>
      <c r="AB233" s="64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</row>
    <row r="964" ht="15.75" customHeight="1">
      <c r="A964" s="64"/>
      <c r="B964" s="64"/>
      <c r="C964" s="64"/>
      <c r="D964" s="64"/>
      <c r="E964" s="64"/>
      <c r="F964" s="37"/>
      <c r="G964" s="37"/>
      <c r="H964" s="37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</row>
    <row r="965" ht="15.75" customHeight="1">
      <c r="A965" s="64"/>
      <c r="B965" s="64"/>
      <c r="C965" s="64"/>
      <c r="D965" s="64"/>
      <c r="E965" s="64"/>
      <c r="F965" s="37"/>
      <c r="G965" s="37"/>
      <c r="H965" s="37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</row>
    <row r="966" ht="15.75" customHeight="1">
      <c r="A966" s="64"/>
      <c r="B966" s="64"/>
      <c r="C966" s="64"/>
      <c r="D966" s="64"/>
      <c r="E966" s="64"/>
      <c r="F966" s="37"/>
      <c r="G966" s="37"/>
      <c r="H966" s="37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</row>
    <row r="967" ht="15.75" customHeight="1">
      <c r="A967" s="64"/>
      <c r="B967" s="64"/>
      <c r="C967" s="64"/>
      <c r="D967" s="64"/>
      <c r="E967" s="64"/>
      <c r="F967" s="37"/>
      <c r="G967" s="37"/>
      <c r="H967" s="37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</row>
    <row r="968" ht="15.75" customHeight="1">
      <c r="A968" s="64"/>
      <c r="B968" s="64"/>
      <c r="C968" s="64"/>
      <c r="D968" s="64"/>
      <c r="E968" s="64"/>
      <c r="F968" s="37"/>
      <c r="G968" s="37"/>
      <c r="H968" s="37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</row>
    <row r="969" ht="15.75" customHeight="1">
      <c r="A969" s="64"/>
      <c r="B969" s="64"/>
      <c r="C969" s="64"/>
      <c r="D969" s="64"/>
      <c r="E969" s="64"/>
      <c r="F969" s="37"/>
      <c r="G969" s="37"/>
      <c r="H969" s="37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</row>
    <row r="970" ht="15.75" customHeight="1">
      <c r="A970" s="64"/>
      <c r="B970" s="64"/>
      <c r="C970" s="64"/>
      <c r="D970" s="64"/>
      <c r="E970" s="64"/>
      <c r="F970" s="37"/>
      <c r="G970" s="37"/>
      <c r="H970" s="37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</row>
    <row r="971" ht="15.75" customHeight="1">
      <c r="A971" s="64"/>
      <c r="B971" s="64"/>
      <c r="C971" s="64"/>
      <c r="D971" s="64"/>
      <c r="E971" s="64"/>
      <c r="F971" s="37"/>
      <c r="G971" s="37"/>
      <c r="H971" s="37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</row>
  </sheetData>
  <mergeCells count="18">
    <mergeCell ref="A1:G1"/>
    <mergeCell ref="F2:H2"/>
    <mergeCell ref="A3:A9"/>
    <mergeCell ref="A10:A16"/>
    <mergeCell ref="A17:A23"/>
    <mergeCell ref="AA17:AC17"/>
    <mergeCell ref="AA20:AI21"/>
    <mergeCell ref="A56:G56"/>
    <mergeCell ref="F57:H57"/>
    <mergeCell ref="A58:A61"/>
    <mergeCell ref="A62:A63"/>
    <mergeCell ref="A24:A30"/>
    <mergeCell ref="A31:A37"/>
    <mergeCell ref="AA37:AC37"/>
    <mergeCell ref="A38:A44"/>
    <mergeCell ref="AA38:AC45"/>
    <mergeCell ref="AD38:AE45"/>
    <mergeCell ref="A45:A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105" t="s">
        <v>136</v>
      </c>
      <c r="H1" s="37"/>
      <c r="I1" s="37"/>
      <c r="J1" s="78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37"/>
      <c r="Z1" s="64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81</v>
      </c>
      <c r="U2" s="9" t="s">
        <v>82</v>
      </c>
      <c r="V2" s="9" t="s">
        <v>83</v>
      </c>
      <c r="W2" s="37"/>
      <c r="X2" s="37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81</v>
      </c>
      <c r="AF2" s="5" t="s">
        <v>82</v>
      </c>
      <c r="AG2" s="5" t="s">
        <v>83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6">
        <v>1.0</v>
      </c>
      <c r="B3" s="44">
        <v>45965.0</v>
      </c>
      <c r="C3" s="67" t="s">
        <v>137</v>
      </c>
      <c r="D3" s="12" t="s">
        <v>78</v>
      </c>
      <c r="E3" s="45" t="s">
        <v>32</v>
      </c>
      <c r="F3" s="17">
        <v>2.0</v>
      </c>
      <c r="G3" s="93" t="s">
        <v>24</v>
      </c>
      <c r="H3" s="17">
        <v>4.0</v>
      </c>
      <c r="I3" s="45" t="s">
        <v>23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9" t="s">
        <v>32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4"/>
      <c r="X3" s="64"/>
      <c r="Y3" s="22" t="s">
        <v>29</v>
      </c>
      <c r="Z3" s="71" t="str">
        <f t="array" ref="Z3:AG17">SORT(O3:V17,2,FALSE,8,FALSE,8,FALSE())</f>
        <v>Eng. Biomédica</v>
      </c>
      <c r="AA3" s="23">
        <v>24.0</v>
      </c>
      <c r="AB3" s="23">
        <v>8.0</v>
      </c>
      <c r="AC3" s="23">
        <v>0.0</v>
      </c>
      <c r="AD3" s="24">
        <v>0.0</v>
      </c>
      <c r="AE3" s="23">
        <v>55.0</v>
      </c>
      <c r="AF3" s="24">
        <v>1.0</v>
      </c>
      <c r="AG3" s="23">
        <v>54.0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4">
        <v>45965.0</v>
      </c>
      <c r="C4" s="12" t="s">
        <v>21</v>
      </c>
      <c r="D4" s="12" t="s">
        <v>78</v>
      </c>
      <c r="E4" s="45" t="s">
        <v>31</v>
      </c>
      <c r="F4" s="17">
        <v>3.0</v>
      </c>
      <c r="G4" s="93" t="s">
        <v>24</v>
      </c>
      <c r="H4" s="17">
        <v>0.0</v>
      </c>
      <c r="I4" s="45" t="s">
        <v>25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9" t="s">
        <v>31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4"/>
      <c r="X4" s="64"/>
      <c r="Y4" s="22" t="s">
        <v>34</v>
      </c>
      <c r="Z4" s="71" t="s">
        <v>65</v>
      </c>
      <c r="AA4" s="23">
        <v>24.0</v>
      </c>
      <c r="AB4" s="23">
        <v>8.0</v>
      </c>
      <c r="AC4" s="23">
        <v>0.0</v>
      </c>
      <c r="AD4" s="24">
        <v>0.0</v>
      </c>
      <c r="AE4" s="23">
        <v>38.0</v>
      </c>
      <c r="AF4" s="24">
        <v>7.0</v>
      </c>
      <c r="AG4" s="23">
        <v>31.0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4">
        <v>45964.0</v>
      </c>
      <c r="C5" s="67" t="s">
        <v>49</v>
      </c>
      <c r="D5" s="12" t="s">
        <v>78</v>
      </c>
      <c r="E5" s="45" t="s">
        <v>66</v>
      </c>
      <c r="F5" s="17"/>
      <c r="G5" s="93" t="s">
        <v>24</v>
      </c>
      <c r="H5" s="17"/>
      <c r="I5" s="14" t="s">
        <v>43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9" t="s">
        <v>66</v>
      </c>
      <c r="P5" s="18">
        <f t="shared" si="3"/>
        <v>24</v>
      </c>
      <c r="Q5" s="18">
        <f t="shared" si="4"/>
        <v>8</v>
      </c>
      <c r="R5" s="18">
        <f t="shared" si="5"/>
        <v>0</v>
      </c>
      <c r="S5" s="20">
        <f t="shared" si="6"/>
        <v>0</v>
      </c>
      <c r="T5" s="18">
        <f t="shared" si="7"/>
        <v>55</v>
      </c>
      <c r="U5" s="20">
        <f t="shared" si="8"/>
        <v>1</v>
      </c>
      <c r="V5" s="18">
        <f t="shared" si="9"/>
        <v>54</v>
      </c>
      <c r="W5" s="64"/>
      <c r="X5" s="64"/>
      <c r="Y5" s="22" t="s">
        <v>38</v>
      </c>
      <c r="Z5" s="71" t="s">
        <v>23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4">
        <v>45964.0</v>
      </c>
      <c r="C6" s="67" t="s">
        <v>55</v>
      </c>
      <c r="D6" s="12" t="s">
        <v>78</v>
      </c>
      <c r="E6" s="45" t="s">
        <v>65</v>
      </c>
      <c r="F6" s="17">
        <v>4.0</v>
      </c>
      <c r="G6" s="93" t="s">
        <v>24</v>
      </c>
      <c r="H6" s="17">
        <v>1.0</v>
      </c>
      <c r="I6" s="45" t="s">
        <v>33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9" t="s">
        <v>65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4"/>
      <c r="X6" s="64"/>
      <c r="Y6" s="53" t="s">
        <v>41</v>
      </c>
      <c r="Z6" s="71" t="s">
        <v>31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4">
        <v>45964.0</v>
      </c>
      <c r="C7" s="67" t="s">
        <v>138</v>
      </c>
      <c r="D7" s="12" t="s">
        <v>78</v>
      </c>
      <c r="E7" s="45" t="s">
        <v>104</v>
      </c>
      <c r="F7" s="106"/>
      <c r="G7" s="93" t="s">
        <v>24</v>
      </c>
      <c r="H7" s="106"/>
      <c r="I7" s="116" t="s">
        <v>69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9" t="s">
        <v>23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4"/>
      <c r="X7" s="64"/>
      <c r="Y7" s="53" t="s">
        <v>44</v>
      </c>
      <c r="Z7" s="71" t="s">
        <v>25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4">
        <v>45965.0</v>
      </c>
      <c r="C8" s="67" t="s">
        <v>127</v>
      </c>
      <c r="D8" s="12" t="s">
        <v>78</v>
      </c>
      <c r="E8" s="45" t="s">
        <v>61</v>
      </c>
      <c r="F8" s="17">
        <v>3.0</v>
      </c>
      <c r="G8" s="93" t="s">
        <v>24</v>
      </c>
      <c r="H8" s="17">
        <v>0.0</v>
      </c>
      <c r="I8" s="45" t="s">
        <v>63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9" t="s">
        <v>25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4"/>
      <c r="X8" s="64"/>
      <c r="Y8" s="53" t="s">
        <v>47</v>
      </c>
      <c r="Z8" s="71" t="s">
        <v>33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4">
        <v>45965.0</v>
      </c>
      <c r="C9" s="12" t="s">
        <v>52</v>
      </c>
      <c r="D9" s="12" t="s">
        <v>78</v>
      </c>
      <c r="E9" s="45" t="s">
        <v>102</v>
      </c>
      <c r="F9" s="17">
        <v>3.0</v>
      </c>
      <c r="G9" s="93" t="s">
        <v>24</v>
      </c>
      <c r="H9" s="17">
        <v>7.0</v>
      </c>
      <c r="I9" s="45" t="s">
        <v>36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9" t="s">
        <v>43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4"/>
      <c r="X9" s="64"/>
      <c r="Y9" s="53" t="s">
        <v>48</v>
      </c>
      <c r="Z9" s="71" t="s">
        <v>36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6">
        <v>2.0</v>
      </c>
      <c r="B10" s="44">
        <v>45988.0</v>
      </c>
      <c r="C10" s="12" t="s">
        <v>49</v>
      </c>
      <c r="D10" s="12" t="s">
        <v>22</v>
      </c>
      <c r="E10" s="45" t="s">
        <v>32</v>
      </c>
      <c r="F10" s="17">
        <v>0.0</v>
      </c>
      <c r="G10" s="93" t="s">
        <v>24</v>
      </c>
      <c r="H10" s="17">
        <v>1.0</v>
      </c>
      <c r="I10" s="45" t="s">
        <v>139</v>
      </c>
      <c r="J10" s="4"/>
      <c r="K10" s="4">
        <f t="shared" si="1"/>
        <v>0</v>
      </c>
      <c r="L10" s="18">
        <f t="shared" si="2"/>
        <v>3</v>
      </c>
      <c r="M10" s="4"/>
      <c r="N10" s="52">
        <v>8.0</v>
      </c>
      <c r="O10" s="69" t="s">
        <v>33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4"/>
      <c r="X10" s="64"/>
      <c r="Y10" s="53" t="s">
        <v>131</v>
      </c>
      <c r="Z10" s="71" t="s">
        <v>102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4">
        <v>45988.0</v>
      </c>
      <c r="C11" s="12" t="s">
        <v>55</v>
      </c>
      <c r="D11" s="12" t="s">
        <v>22</v>
      </c>
      <c r="E11" s="45" t="s">
        <v>31</v>
      </c>
      <c r="F11" s="17">
        <v>5.0</v>
      </c>
      <c r="G11" s="93" t="s">
        <v>24</v>
      </c>
      <c r="H11" s="17">
        <v>3.0</v>
      </c>
      <c r="I11" s="45" t="s">
        <v>102</v>
      </c>
      <c r="J11" s="4"/>
      <c r="K11" s="4">
        <f t="shared" si="1"/>
        <v>3</v>
      </c>
      <c r="L11" s="18">
        <f t="shared" si="2"/>
        <v>0</v>
      </c>
      <c r="M11" s="4"/>
      <c r="N11" s="78">
        <v>9.0</v>
      </c>
      <c r="O11" s="78" t="s">
        <v>104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8</v>
      </c>
      <c r="T11" s="18">
        <f t="shared" si="7"/>
        <v>5</v>
      </c>
      <c r="U11" s="20">
        <f t="shared" si="8"/>
        <v>77</v>
      </c>
      <c r="V11" s="18">
        <f t="shared" si="9"/>
        <v>-72</v>
      </c>
      <c r="W11" s="64"/>
      <c r="X11" s="64"/>
      <c r="Y11" s="22">
        <v>9.0</v>
      </c>
      <c r="Z11" s="71" t="s">
        <v>139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4"/>
      <c r="C12" s="12"/>
      <c r="D12" s="12" t="s">
        <v>22</v>
      </c>
      <c r="E12" s="45" t="s">
        <v>66</v>
      </c>
      <c r="F12" s="17">
        <v>17.0</v>
      </c>
      <c r="G12" s="93" t="s">
        <v>24</v>
      </c>
      <c r="H12" s="17">
        <v>0.0</v>
      </c>
      <c r="I12" s="45" t="s">
        <v>104</v>
      </c>
      <c r="J12" s="4"/>
      <c r="K12" s="4">
        <f t="shared" si="1"/>
        <v>3</v>
      </c>
      <c r="L12" s="18">
        <f t="shared" si="2"/>
        <v>0</v>
      </c>
      <c r="M12" s="4"/>
      <c r="N12" s="78">
        <v>10.0</v>
      </c>
      <c r="O12" s="78" t="s">
        <v>69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4"/>
      <c r="X12" s="64"/>
      <c r="Y12" s="22">
        <v>10.0</v>
      </c>
      <c r="Z12" s="71" t="s">
        <v>32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4">
        <v>45988.0</v>
      </c>
      <c r="C13" s="12" t="s">
        <v>75</v>
      </c>
      <c r="D13" s="12" t="s">
        <v>22</v>
      </c>
      <c r="E13" s="45" t="s">
        <v>65</v>
      </c>
      <c r="F13" s="17">
        <v>6.0</v>
      </c>
      <c r="G13" s="93" t="s">
        <v>24</v>
      </c>
      <c r="H13" s="17">
        <v>1.0</v>
      </c>
      <c r="I13" s="45" t="s">
        <v>36</v>
      </c>
      <c r="J13" s="4"/>
      <c r="K13" s="4">
        <f t="shared" si="1"/>
        <v>3</v>
      </c>
      <c r="L13" s="18">
        <f t="shared" si="2"/>
        <v>0</v>
      </c>
      <c r="M13" s="4"/>
      <c r="N13" s="78">
        <v>11.0</v>
      </c>
      <c r="O13" s="78" t="s">
        <v>61</v>
      </c>
      <c r="P13" s="18">
        <f t="shared" si="3"/>
        <v>6</v>
      </c>
      <c r="Q13" s="18">
        <f t="shared" si="4"/>
        <v>2</v>
      </c>
      <c r="R13" s="18">
        <f t="shared" si="5"/>
        <v>0</v>
      </c>
      <c r="S13" s="20">
        <f t="shared" si="6"/>
        <v>6</v>
      </c>
      <c r="T13" s="18">
        <f t="shared" si="7"/>
        <v>10</v>
      </c>
      <c r="U13" s="20">
        <f t="shared" si="8"/>
        <v>47</v>
      </c>
      <c r="V13" s="18">
        <f t="shared" si="9"/>
        <v>-37</v>
      </c>
      <c r="W13" s="64"/>
      <c r="X13" s="64"/>
      <c r="Y13" s="22">
        <v>11.0</v>
      </c>
      <c r="Z13" s="71" t="s">
        <v>61</v>
      </c>
      <c r="AA13" s="23">
        <v>6.0</v>
      </c>
      <c r="AB13" s="23">
        <v>2.0</v>
      </c>
      <c r="AC13" s="23">
        <v>0.0</v>
      </c>
      <c r="AD13" s="24">
        <v>6.0</v>
      </c>
      <c r="AE13" s="23">
        <v>10.0</v>
      </c>
      <c r="AF13" s="24">
        <v>47.0</v>
      </c>
      <c r="AG13" s="23">
        <v>-37.0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4">
        <v>45987.0</v>
      </c>
      <c r="C14" s="12" t="s">
        <v>140</v>
      </c>
      <c r="D14" s="12" t="s">
        <v>22</v>
      </c>
      <c r="E14" s="45" t="s">
        <v>23</v>
      </c>
      <c r="F14" s="106"/>
      <c r="G14" s="93" t="s">
        <v>24</v>
      </c>
      <c r="H14" s="106"/>
      <c r="I14" s="116" t="s">
        <v>69</v>
      </c>
      <c r="J14" s="4"/>
      <c r="K14" s="4" t="str">
        <f t="shared" si="1"/>
        <v/>
      </c>
      <c r="L14" s="18" t="str">
        <f t="shared" si="2"/>
        <v/>
      </c>
      <c r="M14" s="4"/>
      <c r="N14" s="78">
        <v>12.0</v>
      </c>
      <c r="O14" s="78" t="s">
        <v>63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4"/>
      <c r="X14" s="64"/>
      <c r="Y14" s="22">
        <v>12.0</v>
      </c>
      <c r="Z14" s="71" t="s">
        <v>43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4">
        <v>45987.0</v>
      </c>
      <c r="C15" s="12" t="s">
        <v>77</v>
      </c>
      <c r="D15" s="12" t="s">
        <v>22</v>
      </c>
      <c r="E15" s="45" t="s">
        <v>25</v>
      </c>
      <c r="F15" s="17">
        <v>9.0</v>
      </c>
      <c r="G15" s="93" t="s">
        <v>24</v>
      </c>
      <c r="H15" s="17">
        <v>1.0</v>
      </c>
      <c r="I15" s="45" t="s">
        <v>63</v>
      </c>
      <c r="J15" s="4"/>
      <c r="K15" s="4">
        <f t="shared" si="1"/>
        <v>3</v>
      </c>
      <c r="L15" s="18">
        <f t="shared" si="2"/>
        <v>0</v>
      </c>
      <c r="M15" s="4"/>
      <c r="N15" s="107">
        <v>13.0</v>
      </c>
      <c r="O15" s="107" t="s">
        <v>102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4"/>
      <c r="X15" s="64"/>
      <c r="Y15" s="22">
        <v>13.0</v>
      </c>
      <c r="Z15" s="71" t="s">
        <v>69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4">
        <v>45987.0</v>
      </c>
      <c r="C16" s="12" t="s">
        <v>49</v>
      </c>
      <c r="D16" s="12" t="s">
        <v>22</v>
      </c>
      <c r="E16" s="14" t="s">
        <v>43</v>
      </c>
      <c r="F16" s="17"/>
      <c r="G16" s="93" t="s">
        <v>24</v>
      </c>
      <c r="H16" s="17"/>
      <c r="I16" s="45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107">
        <v>14.0</v>
      </c>
      <c r="O16" s="107" t="s">
        <v>139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4"/>
      <c r="X16" s="64"/>
      <c r="Y16" s="22">
        <v>14.0</v>
      </c>
      <c r="Z16" s="71" t="s">
        <v>63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6">
        <v>3.0</v>
      </c>
      <c r="B17" s="44">
        <v>46373.0</v>
      </c>
      <c r="C17" s="12" t="s">
        <v>53</v>
      </c>
      <c r="D17" s="12" t="s">
        <v>22</v>
      </c>
      <c r="E17" s="45" t="s">
        <v>63</v>
      </c>
      <c r="F17" s="17">
        <v>0.0</v>
      </c>
      <c r="G17" s="93" t="s">
        <v>24</v>
      </c>
      <c r="H17" s="17">
        <v>9.0</v>
      </c>
      <c r="I17" s="45" t="s">
        <v>32</v>
      </c>
      <c r="J17" s="4"/>
      <c r="K17" s="4">
        <f t="shared" si="1"/>
        <v>0</v>
      </c>
      <c r="L17" s="18">
        <f t="shared" si="2"/>
        <v>3</v>
      </c>
      <c r="M17" s="4"/>
      <c r="N17" s="107">
        <v>15.0</v>
      </c>
      <c r="O17" s="107" t="s">
        <v>36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4"/>
      <c r="X17" s="64"/>
      <c r="Y17" s="53">
        <v>15.0</v>
      </c>
      <c r="Z17" s="71" t="s">
        <v>104</v>
      </c>
      <c r="AA17" s="23">
        <v>0.0</v>
      </c>
      <c r="AB17" s="23">
        <v>0.0</v>
      </c>
      <c r="AC17" s="23">
        <v>0.0</v>
      </c>
      <c r="AD17" s="24">
        <v>8.0</v>
      </c>
      <c r="AE17" s="23">
        <v>5.0</v>
      </c>
      <c r="AF17" s="24">
        <v>77.0</v>
      </c>
      <c r="AG17" s="23">
        <v>-72.0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4">
        <v>46373.0</v>
      </c>
      <c r="C18" s="67" t="s">
        <v>116</v>
      </c>
      <c r="D18" s="12" t="s">
        <v>22</v>
      </c>
      <c r="E18" s="45" t="s">
        <v>139</v>
      </c>
      <c r="F18" s="17">
        <v>0.0</v>
      </c>
      <c r="G18" s="93" t="s">
        <v>24</v>
      </c>
      <c r="H18" s="17">
        <v>6.0</v>
      </c>
      <c r="I18" s="45" t="s">
        <v>31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35" t="s">
        <v>141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4">
        <v>46373.0</v>
      </c>
      <c r="C19" s="67" t="s">
        <v>142</v>
      </c>
      <c r="D19" s="12" t="s">
        <v>22</v>
      </c>
      <c r="E19" s="14" t="s">
        <v>69</v>
      </c>
      <c r="F19" s="17"/>
      <c r="G19" s="93" t="s">
        <v>24</v>
      </c>
      <c r="H19" s="17"/>
      <c r="I19" s="45" t="s">
        <v>66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4">
        <v>46373.0</v>
      </c>
      <c r="C20" s="67" t="s">
        <v>51</v>
      </c>
      <c r="D20" s="12" t="s">
        <v>22</v>
      </c>
      <c r="E20" s="45" t="s">
        <v>104</v>
      </c>
      <c r="F20" s="17">
        <v>0.0</v>
      </c>
      <c r="G20" s="93" t="s">
        <v>24</v>
      </c>
      <c r="H20" s="17">
        <v>16.0</v>
      </c>
      <c r="I20" s="45" t="s">
        <v>65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4">
        <v>46373.0</v>
      </c>
      <c r="C21" s="67" t="s">
        <v>143</v>
      </c>
      <c r="D21" s="12" t="s">
        <v>22</v>
      </c>
      <c r="E21" s="45" t="s">
        <v>33</v>
      </c>
      <c r="F21" s="106">
        <v>0.0</v>
      </c>
      <c r="G21" s="93" t="s">
        <v>24</v>
      </c>
      <c r="H21" s="106">
        <v>8.0</v>
      </c>
      <c r="I21" s="45" t="s">
        <v>23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4">
        <v>46373.0</v>
      </c>
      <c r="C22" s="67" t="s">
        <v>74</v>
      </c>
      <c r="D22" s="12" t="s">
        <v>22</v>
      </c>
      <c r="E22" s="45" t="s">
        <v>61</v>
      </c>
      <c r="F22" s="17">
        <v>0.0</v>
      </c>
      <c r="G22" s="93" t="s">
        <v>24</v>
      </c>
      <c r="H22" s="17">
        <v>11.0</v>
      </c>
      <c r="I22" s="45" t="s">
        <v>25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4">
        <v>46373.0</v>
      </c>
      <c r="C23" s="67" t="s">
        <v>30</v>
      </c>
      <c r="D23" s="12" t="s">
        <v>22</v>
      </c>
      <c r="E23" s="45" t="s">
        <v>102</v>
      </c>
      <c r="F23" s="17"/>
      <c r="G23" s="93" t="s">
        <v>24</v>
      </c>
      <c r="H23" s="17"/>
      <c r="I23" s="14" t="s">
        <v>43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6">
        <v>4.0</v>
      </c>
      <c r="B24" s="44">
        <v>46062.0</v>
      </c>
      <c r="C24" s="12" t="s">
        <v>138</v>
      </c>
      <c r="D24" s="12" t="s">
        <v>78</v>
      </c>
      <c r="E24" s="45" t="s">
        <v>36</v>
      </c>
      <c r="F24" s="17">
        <v>3.0</v>
      </c>
      <c r="G24" s="93" t="s">
        <v>24</v>
      </c>
      <c r="H24" s="17">
        <v>4.0</v>
      </c>
      <c r="I24" s="45" t="s">
        <v>32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4">
        <v>46062.0</v>
      </c>
      <c r="C25" s="12" t="s">
        <v>75</v>
      </c>
      <c r="D25" s="12" t="s">
        <v>78</v>
      </c>
      <c r="E25" s="45" t="s">
        <v>63</v>
      </c>
      <c r="F25" s="17">
        <v>2.0</v>
      </c>
      <c r="G25" s="93" t="s">
        <v>24</v>
      </c>
      <c r="H25" s="17">
        <v>11.0</v>
      </c>
      <c r="I25" s="45" t="s">
        <v>139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4">
        <v>46062.0</v>
      </c>
      <c r="C26" s="12" t="s">
        <v>35</v>
      </c>
      <c r="D26" s="12" t="s">
        <v>78</v>
      </c>
      <c r="E26" s="45" t="s">
        <v>65</v>
      </c>
      <c r="F26" s="17">
        <v>3.0</v>
      </c>
      <c r="G26" s="93" t="s">
        <v>24</v>
      </c>
      <c r="H26" s="17">
        <v>0.0</v>
      </c>
      <c r="I26" s="45" t="s">
        <v>102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92"/>
      <c r="C27" s="93"/>
      <c r="D27" s="93"/>
      <c r="E27" s="45" t="s">
        <v>61</v>
      </c>
      <c r="F27" s="93"/>
      <c r="G27" s="93" t="s">
        <v>24</v>
      </c>
      <c r="H27" s="93"/>
      <c r="I27" s="117" t="s">
        <v>69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4">
        <v>46149.0</v>
      </c>
      <c r="C28" s="12" t="s">
        <v>51</v>
      </c>
      <c r="D28" s="12" t="s">
        <v>78</v>
      </c>
      <c r="E28" s="45" t="s">
        <v>104</v>
      </c>
      <c r="F28" s="106">
        <v>1.0</v>
      </c>
      <c r="G28" s="93" t="s">
        <v>24</v>
      </c>
      <c r="H28" s="106">
        <v>5.0</v>
      </c>
      <c r="I28" s="45" t="s">
        <v>25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6">
        <v>5.0</v>
      </c>
      <c r="B29" s="44">
        <v>46077.0</v>
      </c>
      <c r="C29" s="12" t="s">
        <v>35</v>
      </c>
      <c r="D29" s="12" t="s">
        <v>22</v>
      </c>
      <c r="E29" s="45" t="s">
        <v>32</v>
      </c>
      <c r="F29" s="17">
        <v>1.0</v>
      </c>
      <c r="G29" s="93" t="s">
        <v>24</v>
      </c>
      <c r="H29" s="17">
        <v>2.0</v>
      </c>
      <c r="I29" s="45" t="s">
        <v>65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4">
        <v>46077.0</v>
      </c>
      <c r="C30" s="12" t="s">
        <v>55</v>
      </c>
      <c r="D30" s="12" t="s">
        <v>22</v>
      </c>
      <c r="E30" s="45" t="s">
        <v>31</v>
      </c>
      <c r="F30" s="17">
        <v>1.0</v>
      </c>
      <c r="G30" s="93" t="s">
        <v>24</v>
      </c>
      <c r="H30" s="17">
        <v>8.0</v>
      </c>
      <c r="I30" s="45" t="s">
        <v>66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4">
        <v>46077.0</v>
      </c>
      <c r="C31" s="12" t="s">
        <v>138</v>
      </c>
      <c r="D31" s="12" t="s">
        <v>22</v>
      </c>
      <c r="E31" s="45" t="s">
        <v>23</v>
      </c>
      <c r="F31" s="17">
        <v>10.0</v>
      </c>
      <c r="G31" s="93" t="s">
        <v>24</v>
      </c>
      <c r="H31" s="17">
        <v>1.0</v>
      </c>
      <c r="I31" s="45" t="s">
        <v>104</v>
      </c>
      <c r="J31" s="64"/>
      <c r="K31" s="4">
        <f t="shared" si="1"/>
        <v>3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4">
        <v>46077.0</v>
      </c>
      <c r="C32" s="12" t="s">
        <v>75</v>
      </c>
      <c r="D32" s="12" t="s">
        <v>22</v>
      </c>
      <c r="E32" s="45" t="s">
        <v>25</v>
      </c>
      <c r="F32" s="17"/>
      <c r="G32" s="93" t="s">
        <v>24</v>
      </c>
      <c r="H32" s="17"/>
      <c r="I32" s="14" t="s">
        <v>43</v>
      </c>
      <c r="J32" s="64"/>
      <c r="K32" s="4" t="str">
        <f t="shared" si="1"/>
        <v/>
      </c>
      <c r="L32" s="18" t="str">
        <f t="shared" si="2"/>
        <v/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92"/>
      <c r="C33" s="93"/>
      <c r="D33" s="93"/>
      <c r="E33" s="14" t="s">
        <v>69</v>
      </c>
      <c r="F33" s="17"/>
      <c r="G33" s="93" t="s">
        <v>24</v>
      </c>
      <c r="H33" s="17"/>
      <c r="I33" s="45" t="s">
        <v>102</v>
      </c>
      <c r="J33" s="64"/>
      <c r="K33" s="4" t="str">
        <f t="shared" si="1"/>
        <v/>
      </c>
      <c r="L33" s="18" t="str">
        <f t="shared" si="2"/>
        <v/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4">
        <v>46149.0</v>
      </c>
      <c r="C34" s="12" t="s">
        <v>143</v>
      </c>
      <c r="D34" s="12" t="s">
        <v>78</v>
      </c>
      <c r="E34" s="45" t="s">
        <v>33</v>
      </c>
      <c r="F34" s="17">
        <v>6.0</v>
      </c>
      <c r="G34" s="93" t="s">
        <v>24</v>
      </c>
      <c r="H34" s="17">
        <v>0.0</v>
      </c>
      <c r="I34" s="45" t="s">
        <v>61</v>
      </c>
      <c r="J34" s="64"/>
      <c r="K34" s="4">
        <f t="shared" si="1"/>
        <v>3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4">
        <v>46077.0</v>
      </c>
      <c r="C35" s="12" t="s">
        <v>49</v>
      </c>
      <c r="D35" s="12" t="s">
        <v>22</v>
      </c>
      <c r="E35" s="45" t="s">
        <v>36</v>
      </c>
      <c r="F35" s="106">
        <v>6.0</v>
      </c>
      <c r="G35" s="93" t="s">
        <v>24</v>
      </c>
      <c r="H35" s="106">
        <v>0.0</v>
      </c>
      <c r="I35" s="45" t="s">
        <v>139</v>
      </c>
      <c r="J35" s="64"/>
      <c r="K35" s="4">
        <f t="shared" si="1"/>
        <v>3</v>
      </c>
      <c r="L35" s="18">
        <f t="shared" si="2"/>
        <v>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6">
        <v>6.0</v>
      </c>
      <c r="B36" s="44">
        <v>46085.0</v>
      </c>
      <c r="C36" s="12" t="s">
        <v>55</v>
      </c>
      <c r="D36" s="12" t="s">
        <v>78</v>
      </c>
      <c r="E36" s="45" t="s">
        <v>102</v>
      </c>
      <c r="F36" s="17">
        <v>3.0</v>
      </c>
      <c r="G36" s="93" t="s">
        <v>24</v>
      </c>
      <c r="H36" s="17">
        <v>3.0</v>
      </c>
      <c r="I36" s="45" t="s">
        <v>32</v>
      </c>
      <c r="J36" s="64"/>
      <c r="K36" s="4">
        <f t="shared" si="1"/>
        <v>1</v>
      </c>
      <c r="L36" s="18">
        <f t="shared" si="2"/>
        <v>1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37"/>
      <c r="Z36" s="64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4">
        <v>46149.0</v>
      </c>
      <c r="C37" s="12" t="s">
        <v>74</v>
      </c>
      <c r="D37" s="12" t="s">
        <v>78</v>
      </c>
      <c r="E37" s="45" t="s">
        <v>63</v>
      </c>
      <c r="F37" s="17">
        <v>0.0</v>
      </c>
      <c r="G37" s="93" t="s">
        <v>24</v>
      </c>
      <c r="H37" s="17">
        <v>11.0</v>
      </c>
      <c r="I37" s="45" t="s">
        <v>31</v>
      </c>
      <c r="J37" s="64"/>
      <c r="K37" s="4">
        <f t="shared" si="1"/>
        <v>0</v>
      </c>
      <c r="L37" s="18">
        <f t="shared" si="2"/>
        <v>3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37"/>
      <c r="Z37" s="64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4">
        <v>46155.0</v>
      </c>
      <c r="C38" s="12" t="s">
        <v>49</v>
      </c>
      <c r="D38" s="12" t="s">
        <v>22</v>
      </c>
      <c r="E38" s="45" t="s">
        <v>61</v>
      </c>
      <c r="F38" s="17">
        <v>0.0</v>
      </c>
      <c r="G38" s="93" t="s">
        <v>24</v>
      </c>
      <c r="H38" s="17">
        <v>8.0</v>
      </c>
      <c r="I38" s="45" t="s">
        <v>66</v>
      </c>
      <c r="J38" s="64"/>
      <c r="K38" s="4">
        <f t="shared" si="1"/>
        <v>0</v>
      </c>
      <c r="L38" s="18">
        <f t="shared" si="2"/>
        <v>3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37"/>
      <c r="Z38" s="64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15"/>
      <c r="C39" s="99"/>
      <c r="D39" s="99"/>
      <c r="E39" s="14" t="s">
        <v>69</v>
      </c>
      <c r="F39" s="93"/>
      <c r="G39" s="93" t="s">
        <v>24</v>
      </c>
      <c r="H39" s="93"/>
      <c r="I39" s="45" t="s">
        <v>65</v>
      </c>
      <c r="J39" s="64"/>
      <c r="K39" s="4" t="str">
        <f t="shared" si="1"/>
        <v/>
      </c>
      <c r="L39" s="18" t="str">
        <f t="shared" si="2"/>
        <v/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37"/>
      <c r="Z39" s="64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4">
        <v>46085.0</v>
      </c>
      <c r="C40" s="12" t="s">
        <v>138</v>
      </c>
      <c r="D40" s="12" t="s">
        <v>78</v>
      </c>
      <c r="E40" s="45" t="s">
        <v>25</v>
      </c>
      <c r="F40" s="17">
        <v>2.0</v>
      </c>
      <c r="G40" s="93" t="s">
        <v>24</v>
      </c>
      <c r="H40" s="17">
        <v>5.0</v>
      </c>
      <c r="I40" s="45" t="s">
        <v>23</v>
      </c>
      <c r="J40" s="64"/>
      <c r="K40" s="4">
        <f t="shared" si="1"/>
        <v>0</v>
      </c>
      <c r="L40" s="18">
        <f t="shared" si="2"/>
        <v>3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37"/>
      <c r="Z40" s="64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4">
        <v>46085.0</v>
      </c>
      <c r="C41" s="12" t="s">
        <v>75</v>
      </c>
      <c r="D41" s="12" t="s">
        <v>78</v>
      </c>
      <c r="E41" s="45" t="s">
        <v>33</v>
      </c>
      <c r="F41" s="17">
        <v>0.0</v>
      </c>
      <c r="G41" s="93" t="s">
        <v>24</v>
      </c>
      <c r="H41" s="17">
        <v>4.0</v>
      </c>
      <c r="I41" s="45" t="s">
        <v>36</v>
      </c>
      <c r="J41" s="64"/>
      <c r="K41" s="4">
        <f t="shared" si="1"/>
        <v>0</v>
      </c>
      <c r="L41" s="18">
        <f t="shared" si="2"/>
        <v>3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37"/>
      <c r="Z41" s="64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4">
        <v>46085.0</v>
      </c>
      <c r="C42" s="12" t="s">
        <v>35</v>
      </c>
      <c r="D42" s="12" t="s">
        <v>78</v>
      </c>
      <c r="E42" s="45" t="s">
        <v>139</v>
      </c>
      <c r="F42" s="106"/>
      <c r="G42" s="93" t="s">
        <v>24</v>
      </c>
      <c r="H42" s="106"/>
      <c r="I42" s="14" t="s">
        <v>43</v>
      </c>
      <c r="J42" s="64"/>
      <c r="K42" s="4" t="str">
        <f t="shared" si="1"/>
        <v/>
      </c>
      <c r="L42" s="18" t="str">
        <f t="shared" si="2"/>
        <v/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37"/>
      <c r="Z42" s="64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6">
        <v>7.0</v>
      </c>
      <c r="B43" s="44">
        <v>46091.0</v>
      </c>
      <c r="C43" s="12" t="s">
        <v>55</v>
      </c>
      <c r="D43" s="12" t="s">
        <v>78</v>
      </c>
      <c r="E43" s="45" t="s">
        <v>32</v>
      </c>
      <c r="F43" s="17">
        <v>1.0</v>
      </c>
      <c r="G43" s="93" t="s">
        <v>24</v>
      </c>
      <c r="H43" s="17">
        <v>6.0</v>
      </c>
      <c r="I43" s="45" t="s">
        <v>33</v>
      </c>
      <c r="J43" s="64"/>
      <c r="K43" s="4">
        <f t="shared" si="1"/>
        <v>0</v>
      </c>
      <c r="L43" s="18">
        <f t="shared" si="2"/>
        <v>3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37"/>
      <c r="Z43" s="64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4">
        <v>46091.0</v>
      </c>
      <c r="C44" s="12" t="s">
        <v>138</v>
      </c>
      <c r="D44" s="12" t="s">
        <v>78</v>
      </c>
      <c r="E44" s="45" t="s">
        <v>31</v>
      </c>
      <c r="F44" s="17"/>
      <c r="G44" s="93" t="s">
        <v>24</v>
      </c>
      <c r="H44" s="17"/>
      <c r="I44" s="14" t="s">
        <v>43</v>
      </c>
      <c r="J44" s="64"/>
      <c r="K44" s="4" t="str">
        <f t="shared" si="1"/>
        <v/>
      </c>
      <c r="L44" s="18" t="str">
        <f t="shared" si="2"/>
        <v/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37"/>
      <c r="Z44" s="64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4">
        <v>46111.0</v>
      </c>
      <c r="C45" s="12" t="s">
        <v>138</v>
      </c>
      <c r="D45" s="12" t="s">
        <v>78</v>
      </c>
      <c r="E45" s="45" t="s">
        <v>66</v>
      </c>
      <c r="F45" s="17">
        <v>3.0</v>
      </c>
      <c r="G45" s="93" t="s">
        <v>24</v>
      </c>
      <c r="H45" s="17">
        <v>0.0</v>
      </c>
      <c r="I45" s="45" t="s">
        <v>25</v>
      </c>
      <c r="J45" s="64"/>
      <c r="K45" s="4">
        <f t="shared" si="1"/>
        <v>3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37"/>
      <c r="Z45" s="64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4">
        <v>46105.0</v>
      </c>
      <c r="C46" s="12" t="s">
        <v>75</v>
      </c>
      <c r="D46" s="12" t="s">
        <v>78</v>
      </c>
      <c r="E46" s="45" t="s">
        <v>65</v>
      </c>
      <c r="F46" s="17">
        <v>3.0</v>
      </c>
      <c r="G46" s="93" t="s">
        <v>24</v>
      </c>
      <c r="H46" s="17">
        <v>2.0</v>
      </c>
      <c r="I46" s="45" t="s">
        <v>23</v>
      </c>
      <c r="J46" s="64"/>
      <c r="K46" s="4">
        <f t="shared" si="1"/>
        <v>3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37"/>
      <c r="Z46" s="64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4">
        <v>46091.0</v>
      </c>
      <c r="C47" s="12" t="s">
        <v>75</v>
      </c>
      <c r="D47" s="12" t="s">
        <v>78</v>
      </c>
      <c r="E47" s="45" t="s">
        <v>104</v>
      </c>
      <c r="F47" s="17">
        <v>1.0</v>
      </c>
      <c r="G47" s="93" t="s">
        <v>24</v>
      </c>
      <c r="H47" s="17">
        <v>2.0</v>
      </c>
      <c r="I47" s="45" t="s">
        <v>139</v>
      </c>
      <c r="J47" s="64"/>
      <c r="K47" s="4">
        <f t="shared" si="1"/>
        <v>0</v>
      </c>
      <c r="L47" s="18">
        <f t="shared" si="2"/>
        <v>3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37"/>
      <c r="Z47" s="64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4">
        <v>46091.0</v>
      </c>
      <c r="C48" s="12" t="s">
        <v>35</v>
      </c>
      <c r="D48" s="12" t="s">
        <v>78</v>
      </c>
      <c r="E48" s="45" t="s">
        <v>61</v>
      </c>
      <c r="F48" s="17">
        <v>1.0</v>
      </c>
      <c r="G48" s="93" t="s">
        <v>24</v>
      </c>
      <c r="H48" s="17">
        <v>5.0</v>
      </c>
      <c r="I48" s="45" t="s">
        <v>36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37"/>
      <c r="Z48" s="64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92"/>
      <c r="C49" s="93"/>
      <c r="D49" s="93"/>
      <c r="E49" s="118" t="s">
        <v>69</v>
      </c>
      <c r="F49" s="28"/>
      <c r="G49" s="93" t="s">
        <v>24</v>
      </c>
      <c r="H49" s="28"/>
      <c r="I49" s="45" t="s">
        <v>63</v>
      </c>
      <c r="J49" s="64"/>
      <c r="K49" s="4" t="str">
        <f t="shared" si="1"/>
        <v/>
      </c>
      <c r="L49" s="18" t="str">
        <f t="shared" si="2"/>
        <v/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37"/>
      <c r="Z49" s="64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6">
        <v>8.0</v>
      </c>
      <c r="B50" s="44">
        <v>46105.0</v>
      </c>
      <c r="C50" s="12" t="s">
        <v>138</v>
      </c>
      <c r="D50" s="12" t="s">
        <v>78</v>
      </c>
      <c r="E50" s="45" t="s">
        <v>66</v>
      </c>
      <c r="F50" s="17">
        <v>3.0</v>
      </c>
      <c r="G50" s="93" t="s">
        <v>24</v>
      </c>
      <c r="H50" s="17">
        <v>0.0</v>
      </c>
      <c r="I50" s="45" t="s">
        <v>32</v>
      </c>
      <c r="J50" s="64"/>
      <c r="K50" s="4">
        <f t="shared" si="1"/>
        <v>3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37"/>
      <c r="Z50" s="64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4">
        <v>46111.0</v>
      </c>
      <c r="C51" s="12" t="s">
        <v>138</v>
      </c>
      <c r="D51" s="12" t="s">
        <v>78</v>
      </c>
      <c r="E51" s="45" t="s">
        <v>65</v>
      </c>
      <c r="F51" s="17">
        <v>4.0</v>
      </c>
      <c r="G51" s="93" t="s">
        <v>24</v>
      </c>
      <c r="H51" s="17">
        <v>2.0</v>
      </c>
      <c r="I51" s="45" t="s">
        <v>31</v>
      </c>
      <c r="J51" s="64"/>
      <c r="K51" s="4">
        <f t="shared" si="1"/>
        <v>3</v>
      </c>
      <c r="L51" s="18">
        <f t="shared" si="2"/>
        <v>0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37"/>
      <c r="Z51" s="64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4">
        <v>46111.0</v>
      </c>
      <c r="C52" s="12" t="s">
        <v>75</v>
      </c>
      <c r="D52" s="12" t="s">
        <v>78</v>
      </c>
      <c r="E52" s="45" t="s">
        <v>139</v>
      </c>
      <c r="F52" s="17">
        <v>2.0</v>
      </c>
      <c r="G52" s="93" t="s">
        <v>24</v>
      </c>
      <c r="H52" s="17">
        <v>8.0</v>
      </c>
      <c r="I52" s="45" t="s">
        <v>23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37"/>
      <c r="Z52" s="64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4">
        <v>46105.0</v>
      </c>
      <c r="C53" s="12" t="s">
        <v>55</v>
      </c>
      <c r="D53" s="12" t="s">
        <v>78</v>
      </c>
      <c r="E53" s="45" t="s">
        <v>102</v>
      </c>
      <c r="F53" s="17">
        <v>3.0</v>
      </c>
      <c r="G53" s="93" t="s">
        <v>24</v>
      </c>
      <c r="H53" s="17">
        <v>2.0</v>
      </c>
      <c r="I53" s="45" t="s">
        <v>25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37"/>
      <c r="Z53" s="64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4">
        <v>46105.0</v>
      </c>
      <c r="C54" s="12" t="s">
        <v>35</v>
      </c>
      <c r="D54" s="12" t="s">
        <v>78</v>
      </c>
      <c r="E54" s="45" t="s">
        <v>36</v>
      </c>
      <c r="F54" s="17"/>
      <c r="G54" s="93" t="s">
        <v>24</v>
      </c>
      <c r="H54" s="17"/>
      <c r="I54" s="14" t="s">
        <v>43</v>
      </c>
      <c r="J54" s="64"/>
      <c r="K54" s="4" t="str">
        <f t="shared" si="1"/>
        <v/>
      </c>
      <c r="L54" s="18" t="str">
        <f t="shared" si="2"/>
        <v/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37"/>
      <c r="Z54" s="64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4">
        <v>46111.0</v>
      </c>
      <c r="C55" s="12" t="s">
        <v>35</v>
      </c>
      <c r="D55" s="12" t="s">
        <v>78</v>
      </c>
      <c r="E55" s="45" t="s">
        <v>63</v>
      </c>
      <c r="F55" s="17">
        <v>0.0</v>
      </c>
      <c r="G55" s="93" t="s">
        <v>24</v>
      </c>
      <c r="H55" s="17">
        <v>8.0</v>
      </c>
      <c r="I55" s="45" t="s">
        <v>33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37"/>
      <c r="Z55" s="64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44">
        <v>46169.0</v>
      </c>
      <c r="C56" s="12" t="s">
        <v>77</v>
      </c>
      <c r="D56" s="12" t="s">
        <v>22</v>
      </c>
      <c r="E56" s="45" t="s">
        <v>61</v>
      </c>
      <c r="F56" s="106">
        <v>6.0</v>
      </c>
      <c r="G56" s="93" t="s">
        <v>24</v>
      </c>
      <c r="H56" s="106">
        <v>1.0</v>
      </c>
      <c r="I56" s="45" t="s">
        <v>104</v>
      </c>
      <c r="J56" s="64"/>
      <c r="K56" s="4">
        <f t="shared" si="1"/>
        <v>3</v>
      </c>
      <c r="L56" s="18">
        <f t="shared" si="2"/>
        <v>0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37"/>
      <c r="Z56" s="64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6">
        <v>9.0</v>
      </c>
      <c r="B57" s="44">
        <v>46133.0</v>
      </c>
      <c r="C57" s="67" t="s">
        <v>75</v>
      </c>
      <c r="D57" s="12" t="s">
        <v>22</v>
      </c>
      <c r="E57" s="45" t="s">
        <v>66</v>
      </c>
      <c r="F57" s="17">
        <v>5.0</v>
      </c>
      <c r="G57" s="93" t="s">
        <v>24</v>
      </c>
      <c r="H57" s="17">
        <v>0.0</v>
      </c>
      <c r="I57" s="45" t="s">
        <v>36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37"/>
      <c r="Z57" s="64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4">
        <v>46133.0</v>
      </c>
      <c r="C58" s="67" t="s">
        <v>55</v>
      </c>
      <c r="D58" s="12" t="s">
        <v>22</v>
      </c>
      <c r="E58" s="45" t="s">
        <v>31</v>
      </c>
      <c r="F58" s="17">
        <v>9.0</v>
      </c>
      <c r="G58" s="93" t="s">
        <v>24</v>
      </c>
      <c r="H58" s="17">
        <v>0.0</v>
      </c>
      <c r="I58" s="45" t="s">
        <v>61</v>
      </c>
      <c r="J58" s="64"/>
      <c r="K58" s="4">
        <f t="shared" si="1"/>
        <v>3</v>
      </c>
      <c r="L58" s="18">
        <f t="shared" si="2"/>
        <v>0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37"/>
      <c r="Z58" s="64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4">
        <v>46133.0</v>
      </c>
      <c r="C59" s="67" t="s">
        <v>138</v>
      </c>
      <c r="D59" s="12" t="s">
        <v>22</v>
      </c>
      <c r="E59" s="45" t="s">
        <v>139</v>
      </c>
      <c r="F59" s="17">
        <v>1.0</v>
      </c>
      <c r="G59" s="93" t="s">
        <v>24</v>
      </c>
      <c r="H59" s="17">
        <v>1.0</v>
      </c>
      <c r="I59" s="45" t="s">
        <v>102</v>
      </c>
      <c r="J59" s="64"/>
      <c r="K59" s="4">
        <f t="shared" si="1"/>
        <v>1</v>
      </c>
      <c r="L59" s="18">
        <f t="shared" si="2"/>
        <v>1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37"/>
      <c r="Z59" s="64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15"/>
      <c r="C60" s="99"/>
      <c r="D60" s="99"/>
      <c r="E60" s="14" t="s">
        <v>43</v>
      </c>
      <c r="F60" s="93"/>
      <c r="G60" s="93" t="s">
        <v>24</v>
      </c>
      <c r="H60" s="93"/>
      <c r="I60" s="116" t="s">
        <v>69</v>
      </c>
      <c r="J60" s="64"/>
      <c r="K60" s="4" t="str">
        <f t="shared" si="1"/>
        <v/>
      </c>
      <c r="L60" s="18" t="str">
        <f t="shared" si="2"/>
        <v/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37"/>
      <c r="Z60" s="64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4">
        <v>46133.0</v>
      </c>
      <c r="C61" s="12" t="s">
        <v>49</v>
      </c>
      <c r="D61" s="12" t="s">
        <v>22</v>
      </c>
      <c r="E61" s="45" t="s">
        <v>104</v>
      </c>
      <c r="F61" s="17">
        <v>0.0</v>
      </c>
      <c r="G61" s="93" t="s">
        <v>24</v>
      </c>
      <c r="H61" s="17">
        <v>11.0</v>
      </c>
      <c r="I61" s="45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37"/>
      <c r="Z61" s="64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4">
        <v>46133.0</v>
      </c>
      <c r="C62" s="67" t="s">
        <v>35</v>
      </c>
      <c r="D62" s="12" t="s">
        <v>22</v>
      </c>
      <c r="E62" s="45" t="s">
        <v>23</v>
      </c>
      <c r="F62" s="17">
        <v>3.0</v>
      </c>
      <c r="G62" s="93" t="s">
        <v>24</v>
      </c>
      <c r="H62" s="17">
        <v>0.0</v>
      </c>
      <c r="I62" s="45" t="s">
        <v>63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37"/>
      <c r="Z62" s="64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6">
        <v>10.0</v>
      </c>
      <c r="B63" s="44">
        <v>46146.0</v>
      </c>
      <c r="C63" s="67" t="s">
        <v>35</v>
      </c>
      <c r="D63" s="12" t="s">
        <v>78</v>
      </c>
      <c r="E63" s="45" t="s">
        <v>104</v>
      </c>
      <c r="F63" s="17">
        <v>1.0</v>
      </c>
      <c r="G63" s="93" t="s">
        <v>24</v>
      </c>
      <c r="H63" s="17">
        <v>10.0</v>
      </c>
      <c r="I63" s="45" t="s">
        <v>102</v>
      </c>
      <c r="J63" s="64"/>
      <c r="K63" s="4">
        <f t="shared" si="1"/>
        <v>0</v>
      </c>
      <c r="L63" s="18">
        <f t="shared" si="2"/>
        <v>3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37"/>
      <c r="Z63" s="64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4">
        <v>46146.0</v>
      </c>
      <c r="C64" s="12" t="s">
        <v>138</v>
      </c>
      <c r="D64" s="12" t="s">
        <v>78</v>
      </c>
      <c r="E64" s="45" t="s">
        <v>23</v>
      </c>
      <c r="F64" s="17">
        <v>0.0</v>
      </c>
      <c r="G64" s="93" t="s">
        <v>24</v>
      </c>
      <c r="H64" s="17">
        <v>4.0</v>
      </c>
      <c r="I64" s="45" t="s">
        <v>66</v>
      </c>
      <c r="J64" s="64"/>
      <c r="K64" s="4">
        <f t="shared" si="1"/>
        <v>0</v>
      </c>
      <c r="L64" s="18">
        <f t="shared" si="2"/>
        <v>3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37"/>
      <c r="Z64" s="64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4">
        <v>46146.0</v>
      </c>
      <c r="C65" s="12" t="s">
        <v>75</v>
      </c>
      <c r="D65" s="12" t="s">
        <v>78</v>
      </c>
      <c r="E65" s="45" t="s">
        <v>61</v>
      </c>
      <c r="F65" s="17">
        <v>0.0</v>
      </c>
      <c r="G65" s="93" t="s">
        <v>24</v>
      </c>
      <c r="H65" s="17">
        <v>7.0</v>
      </c>
      <c r="I65" s="45" t="s">
        <v>65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37"/>
      <c r="Z65" s="64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92"/>
      <c r="C66" s="93"/>
      <c r="D66" s="93"/>
      <c r="E66" s="45" t="s">
        <v>63</v>
      </c>
      <c r="F66" s="93"/>
      <c r="G66" s="93" t="s">
        <v>24</v>
      </c>
      <c r="H66" s="93"/>
      <c r="I66" s="14" t="s">
        <v>43</v>
      </c>
      <c r="J66" s="64"/>
      <c r="K66" s="4" t="str">
        <f t="shared" si="1"/>
        <v/>
      </c>
      <c r="L66" s="18" t="str">
        <f t="shared" si="2"/>
        <v/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37"/>
      <c r="Z66" s="64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6">
        <v>11.0</v>
      </c>
      <c r="B67" s="44">
        <v>46131.0</v>
      </c>
      <c r="C67" s="12" t="s">
        <v>55</v>
      </c>
      <c r="D67" s="12" t="s">
        <v>22</v>
      </c>
      <c r="E67" s="45" t="s">
        <v>66</v>
      </c>
      <c r="F67" s="17">
        <v>11.0</v>
      </c>
      <c r="G67" s="93" t="s">
        <v>24</v>
      </c>
      <c r="H67" s="17">
        <v>0.0</v>
      </c>
      <c r="I67" s="45" t="s">
        <v>139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37"/>
      <c r="Z67" s="64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4">
        <v>46131.0</v>
      </c>
      <c r="C68" s="12" t="s">
        <v>138</v>
      </c>
      <c r="D68" s="12" t="s">
        <v>22</v>
      </c>
      <c r="E68" s="45" t="s">
        <v>102</v>
      </c>
      <c r="F68" s="17">
        <v>11.0</v>
      </c>
      <c r="G68" s="93" t="s">
        <v>24</v>
      </c>
      <c r="H68" s="17">
        <v>0.0</v>
      </c>
      <c r="I68" s="45" t="s">
        <v>63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37"/>
      <c r="Z68" s="64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4">
        <v>46131.0</v>
      </c>
      <c r="C69" s="12" t="s">
        <v>75</v>
      </c>
      <c r="D69" s="12" t="s">
        <v>22</v>
      </c>
      <c r="E69" s="45" t="s">
        <v>25</v>
      </c>
      <c r="F69" s="17">
        <v>2.0</v>
      </c>
      <c r="G69" s="93" t="s">
        <v>24</v>
      </c>
      <c r="H69" s="17">
        <v>1.0</v>
      </c>
      <c r="I69" s="45" t="s">
        <v>36</v>
      </c>
      <c r="J69" s="64"/>
      <c r="K69" s="4">
        <f t="shared" si="1"/>
        <v>3</v>
      </c>
      <c r="L69" s="18">
        <f t="shared" si="2"/>
        <v>0</v>
      </c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37"/>
      <c r="Z69" s="64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4">
        <v>46146.0</v>
      </c>
      <c r="C70" s="12" t="s">
        <v>55</v>
      </c>
      <c r="D70" s="12" t="s">
        <v>78</v>
      </c>
      <c r="E70" s="45" t="s">
        <v>33</v>
      </c>
      <c r="F70" s="17">
        <v>1.0</v>
      </c>
      <c r="G70" s="93" t="s">
        <v>24</v>
      </c>
      <c r="H70" s="17">
        <v>3.0</v>
      </c>
      <c r="I70" s="45" t="s">
        <v>31</v>
      </c>
      <c r="J70" s="64"/>
      <c r="K70" s="4">
        <f t="shared" si="1"/>
        <v>0</v>
      </c>
      <c r="L70" s="18">
        <f t="shared" si="2"/>
        <v>3</v>
      </c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37"/>
      <c r="Z70" s="64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37"/>
      <c r="Z71" s="64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37"/>
      <c r="Z72" s="64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1" t="s">
        <v>144</v>
      </c>
      <c r="H73" s="2"/>
      <c r="I73" s="3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37"/>
      <c r="Z73" s="64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37"/>
      <c r="Z74" s="64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8" t="s">
        <v>72</v>
      </c>
      <c r="B75" s="44">
        <v>46156.0</v>
      </c>
      <c r="C75" s="12" t="s">
        <v>49</v>
      </c>
      <c r="D75" s="12" t="s">
        <v>22</v>
      </c>
      <c r="E75" s="91" t="s">
        <v>66</v>
      </c>
      <c r="F75" s="13">
        <v>6.0</v>
      </c>
      <c r="G75" s="16" t="s">
        <v>24</v>
      </c>
      <c r="H75" s="13">
        <v>1.0</v>
      </c>
      <c r="I75" s="91" t="s">
        <v>102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37"/>
      <c r="Z75" s="64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4">
        <v>46156.0</v>
      </c>
      <c r="C76" s="12" t="s">
        <v>21</v>
      </c>
      <c r="D76" s="12" t="s">
        <v>22</v>
      </c>
      <c r="E76" s="91" t="s">
        <v>65</v>
      </c>
      <c r="F76" s="13">
        <v>7.0</v>
      </c>
      <c r="G76" s="16" t="s">
        <v>24</v>
      </c>
      <c r="H76" s="13">
        <v>0.0</v>
      </c>
      <c r="I76" s="91" t="s">
        <v>36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37"/>
      <c r="Z76" s="64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4">
        <v>46156.0</v>
      </c>
      <c r="C77" s="12" t="s">
        <v>30</v>
      </c>
      <c r="D77" s="12" t="s">
        <v>22</v>
      </c>
      <c r="E77" s="91" t="s">
        <v>23</v>
      </c>
      <c r="F77" s="13">
        <v>1.0</v>
      </c>
      <c r="G77" s="16" t="s">
        <v>24</v>
      </c>
      <c r="H77" s="13">
        <v>3.0</v>
      </c>
      <c r="I77" s="91" t="s">
        <v>33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37"/>
      <c r="Z77" s="64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4">
        <v>46156.0</v>
      </c>
      <c r="C78" s="12" t="s">
        <v>35</v>
      </c>
      <c r="D78" s="12" t="s">
        <v>22</v>
      </c>
      <c r="E78" s="91" t="s">
        <v>31</v>
      </c>
      <c r="F78" s="13">
        <v>4.0</v>
      </c>
      <c r="G78" s="16" t="s">
        <v>24</v>
      </c>
      <c r="H78" s="13">
        <v>1.0</v>
      </c>
      <c r="I78" s="91" t="s">
        <v>25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37"/>
      <c r="Z78" s="64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9" t="s">
        <v>73</v>
      </c>
      <c r="B79" s="44">
        <v>46163.0</v>
      </c>
      <c r="C79" s="12" t="s">
        <v>49</v>
      </c>
      <c r="D79" s="12" t="s">
        <v>22</v>
      </c>
      <c r="E79" s="91" t="s">
        <v>66</v>
      </c>
      <c r="F79" s="13" t="s">
        <v>145</v>
      </c>
      <c r="G79" s="16" t="s">
        <v>24</v>
      </c>
      <c r="H79" s="13" t="s">
        <v>146</v>
      </c>
      <c r="I79" s="91" t="s">
        <v>31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37"/>
      <c r="Z79" s="64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44">
        <v>46163.0</v>
      </c>
      <c r="C80" s="12" t="s">
        <v>21</v>
      </c>
      <c r="D80" s="12" t="s">
        <v>22</v>
      </c>
      <c r="E80" s="91" t="s">
        <v>65</v>
      </c>
      <c r="F80" s="13">
        <v>5.0</v>
      </c>
      <c r="G80" s="16" t="s">
        <v>24</v>
      </c>
      <c r="H80" s="13">
        <v>3.0</v>
      </c>
      <c r="I80" s="91" t="s">
        <v>33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37"/>
      <c r="Z80" s="64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61" t="s">
        <v>76</v>
      </c>
      <c r="B81" s="11">
        <v>46168.0</v>
      </c>
      <c r="C81" s="12" t="s">
        <v>128</v>
      </c>
      <c r="D81" s="12" t="s">
        <v>22</v>
      </c>
      <c r="E81" s="45" t="s">
        <v>31</v>
      </c>
      <c r="F81" s="13">
        <v>6.0</v>
      </c>
      <c r="G81" s="16" t="s">
        <v>24</v>
      </c>
      <c r="H81" s="13">
        <v>0.0</v>
      </c>
      <c r="I81" s="62" t="s">
        <v>33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37"/>
      <c r="Z81" s="64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61" t="s">
        <v>79</v>
      </c>
      <c r="B82" s="11">
        <v>46175.0</v>
      </c>
      <c r="C82" s="12" t="s">
        <v>128</v>
      </c>
      <c r="D82" s="12" t="s">
        <v>78</v>
      </c>
      <c r="E82" s="45" t="s">
        <v>66</v>
      </c>
      <c r="F82" s="13">
        <v>4.0</v>
      </c>
      <c r="G82" s="16" t="s">
        <v>24</v>
      </c>
      <c r="H82" s="13">
        <v>0.0</v>
      </c>
      <c r="I82" s="45" t="s">
        <v>65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37"/>
      <c r="Z82" s="64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37"/>
      <c r="Z83" s="64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37"/>
      <c r="Z84" s="64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37"/>
      <c r="Z85" s="64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37"/>
      <c r="Z86" s="64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37"/>
      <c r="Z87" s="64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37"/>
      <c r="Z88" s="64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37"/>
      <c r="Z89" s="64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37"/>
      <c r="Z90" s="64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37"/>
      <c r="Z91" s="64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37"/>
      <c r="Z92" s="64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37"/>
      <c r="Z93" s="64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37"/>
      <c r="Z94" s="64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37"/>
      <c r="Z95" s="64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37"/>
      <c r="Z96" s="64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37"/>
      <c r="Z97" s="64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37"/>
      <c r="Z98" s="64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37"/>
      <c r="Z99" s="64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37"/>
      <c r="Z100" s="64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37"/>
      <c r="Z101" s="64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37"/>
      <c r="Z102" s="64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37"/>
      <c r="Z103" s="64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37"/>
      <c r="Z104" s="64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37"/>
      <c r="Z105" s="64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37"/>
      <c r="Z106" s="64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37"/>
      <c r="Z107" s="64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37"/>
      <c r="Z108" s="64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37"/>
      <c r="Z109" s="64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37"/>
      <c r="Z110" s="64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37"/>
      <c r="Z111" s="64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37"/>
      <c r="Z112" s="64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37"/>
      <c r="Z113" s="64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37"/>
      <c r="Z114" s="64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37"/>
      <c r="Z115" s="64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37"/>
      <c r="Z116" s="64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37"/>
      <c r="Z117" s="64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37"/>
      <c r="Z118" s="64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37"/>
      <c r="Z119" s="64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37"/>
      <c r="Z120" s="64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37"/>
      <c r="Z121" s="64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37"/>
      <c r="Z122" s="64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37"/>
      <c r="Z123" s="64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37"/>
      <c r="Z124" s="64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37"/>
      <c r="Z125" s="64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37"/>
      <c r="Z126" s="64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37"/>
      <c r="Z127" s="64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37"/>
      <c r="Z128" s="64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37"/>
      <c r="Z129" s="64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37"/>
      <c r="Z130" s="64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37"/>
      <c r="Z131" s="64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37"/>
      <c r="Z132" s="64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37"/>
      <c r="Z133" s="64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37"/>
      <c r="Z134" s="64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37"/>
      <c r="Z135" s="64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37"/>
      <c r="Z136" s="64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37"/>
      <c r="Z137" s="64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37"/>
      <c r="Z138" s="64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37"/>
      <c r="Z139" s="64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37"/>
      <c r="Z140" s="64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37"/>
      <c r="Z141" s="64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37"/>
      <c r="Z142" s="64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37"/>
      <c r="Z143" s="64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37"/>
      <c r="Z144" s="64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37"/>
      <c r="Z145" s="64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37"/>
      <c r="Z146" s="64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37"/>
      <c r="Z147" s="64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37"/>
      <c r="Z148" s="64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37"/>
      <c r="Z149" s="64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37"/>
      <c r="Z150" s="64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37"/>
      <c r="Z151" s="64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37"/>
      <c r="Z152" s="64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37"/>
      <c r="Z153" s="64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37"/>
      <c r="Z154" s="64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37"/>
      <c r="Z155" s="64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37"/>
      <c r="Z156" s="64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37"/>
      <c r="Z157" s="64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37"/>
      <c r="Z158" s="64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37"/>
      <c r="Z159" s="64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37"/>
      <c r="Z160" s="64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37"/>
      <c r="Z161" s="64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37"/>
      <c r="Z162" s="64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37"/>
      <c r="Z163" s="64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37"/>
      <c r="Z164" s="64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37"/>
      <c r="Z165" s="64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37"/>
      <c r="Z166" s="64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37"/>
      <c r="Z167" s="64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37"/>
      <c r="Z168" s="64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37"/>
      <c r="Z169" s="64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37"/>
      <c r="Z170" s="64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37"/>
      <c r="Z171" s="64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37"/>
      <c r="Z172" s="64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37"/>
      <c r="Z173" s="64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37"/>
      <c r="Z174" s="64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37"/>
      <c r="Z175" s="64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37"/>
      <c r="Z176" s="64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37"/>
      <c r="Z177" s="64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37"/>
      <c r="Z178" s="64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37"/>
      <c r="Z179" s="64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37"/>
      <c r="Z180" s="64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37"/>
      <c r="Z181" s="64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37"/>
      <c r="Z182" s="64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37"/>
      <c r="Z183" s="64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37"/>
      <c r="Z184" s="64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37"/>
      <c r="Z185" s="64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37"/>
      <c r="Z186" s="64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37"/>
      <c r="Z187" s="64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37"/>
      <c r="Z188" s="64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37"/>
      <c r="Z189" s="64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37"/>
      <c r="Z190" s="64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37"/>
      <c r="Z191" s="64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37"/>
      <c r="Z192" s="64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37"/>
      <c r="Z193" s="64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37"/>
      <c r="Z194" s="64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37"/>
      <c r="Z195" s="64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37"/>
      <c r="Z196" s="64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37"/>
      <c r="Z197" s="64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37"/>
      <c r="Z198" s="64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37"/>
      <c r="Z199" s="64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37"/>
      <c r="Z200" s="64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37"/>
      <c r="Z201" s="64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37"/>
      <c r="Z202" s="64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37"/>
      <c r="Z203" s="64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37"/>
      <c r="Z204" s="64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37"/>
      <c r="Z205" s="64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37"/>
      <c r="Z206" s="64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37"/>
      <c r="Z207" s="64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37"/>
      <c r="Z208" s="64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37"/>
      <c r="Z209" s="64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37"/>
      <c r="Z210" s="64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37"/>
      <c r="Z211" s="64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37"/>
      <c r="Z212" s="64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37"/>
      <c r="Z213" s="64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37"/>
      <c r="Z214" s="64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37"/>
      <c r="Z215" s="64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37"/>
      <c r="Z216" s="64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37"/>
      <c r="Z217" s="64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37"/>
      <c r="Z218" s="64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37"/>
      <c r="Z219" s="64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37"/>
      <c r="Z220" s="64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37"/>
      <c r="Z221" s="64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37"/>
      <c r="Z222" s="64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37"/>
      <c r="Z223" s="64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37"/>
      <c r="Z224" s="64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37"/>
      <c r="Z225" s="64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4"/>
      <c r="B226" s="64"/>
      <c r="C226" s="64"/>
      <c r="D226" s="64"/>
      <c r="E226" s="64"/>
      <c r="F226" s="37"/>
      <c r="G226" s="37"/>
      <c r="H226" s="37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</row>
    <row r="227" ht="15.75" customHeight="1">
      <c r="A227" s="64"/>
      <c r="B227" s="64"/>
      <c r="C227" s="64"/>
      <c r="D227" s="64"/>
      <c r="E227" s="64"/>
      <c r="F227" s="37"/>
      <c r="G227" s="37"/>
      <c r="H227" s="37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</row>
    <row r="228" ht="15.75" customHeight="1">
      <c r="A228" s="64"/>
      <c r="B228" s="64"/>
      <c r="C228" s="64"/>
      <c r="D228" s="64"/>
      <c r="E228" s="64"/>
      <c r="F228" s="37"/>
      <c r="G228" s="37"/>
      <c r="H228" s="37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</row>
    <row r="229" ht="15.75" customHeight="1">
      <c r="A229" s="64"/>
      <c r="B229" s="64"/>
      <c r="C229" s="64"/>
      <c r="D229" s="64"/>
      <c r="E229" s="64"/>
      <c r="F229" s="37"/>
      <c r="G229" s="37"/>
      <c r="H229" s="37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</row>
    <row r="230" ht="15.75" customHeight="1">
      <c r="A230" s="64"/>
      <c r="B230" s="64"/>
      <c r="C230" s="64"/>
      <c r="D230" s="64"/>
      <c r="E230" s="64"/>
      <c r="F230" s="37"/>
      <c r="G230" s="37"/>
      <c r="H230" s="37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</row>
    <row r="231" ht="15.75" customHeight="1">
      <c r="A231" s="64"/>
      <c r="B231" s="64"/>
      <c r="C231" s="64"/>
      <c r="D231" s="64"/>
      <c r="E231" s="64"/>
      <c r="F231" s="37"/>
      <c r="G231" s="37"/>
      <c r="H231" s="37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</row>
    <row r="232" ht="15.75" customHeight="1">
      <c r="A232" s="64"/>
      <c r="B232" s="64"/>
      <c r="C232" s="64"/>
      <c r="D232" s="64"/>
      <c r="E232" s="64"/>
      <c r="F232" s="37"/>
      <c r="G232" s="37"/>
      <c r="H232" s="37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</row>
    <row r="233" ht="15.75" customHeight="1">
      <c r="A233" s="64"/>
      <c r="B233" s="64"/>
      <c r="C233" s="64"/>
      <c r="D233" s="64"/>
      <c r="E233" s="64"/>
      <c r="F233" s="37"/>
      <c r="G233" s="37"/>
      <c r="H233" s="37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0" max="30" width="15.63"/>
    <col customWidth="1" min="31" max="31" width="17.5"/>
    <col customWidth="1" min="32" max="32" width="21.63"/>
    <col hidden="1" min="40" max="40" width="12.63"/>
  </cols>
  <sheetData>
    <row r="1" ht="15.75" customHeight="1">
      <c r="A1" s="119" t="s">
        <v>147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37"/>
      <c r="AN1" s="37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7" t="s">
        <v>20</v>
      </c>
      <c r="X2" s="64"/>
      <c r="Y2" s="6" t="s">
        <v>20</v>
      </c>
      <c r="Z2" s="8"/>
      <c r="AA2" s="32"/>
      <c r="AB2" s="32"/>
      <c r="AC2" s="32"/>
      <c r="AD2" s="64"/>
      <c r="AE2" s="120" t="s">
        <v>148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149</v>
      </c>
      <c r="D3" s="12" t="s">
        <v>22</v>
      </c>
      <c r="E3" s="17" t="s">
        <v>36</v>
      </c>
      <c r="F3" s="17">
        <v>3.0</v>
      </c>
      <c r="G3" s="93" t="s">
        <v>24</v>
      </c>
      <c r="H3" s="17">
        <v>5.0</v>
      </c>
      <c r="I3" s="17" t="s">
        <v>33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21" t="s">
        <v>36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4"/>
      <c r="X3" s="64"/>
      <c r="Y3" s="70" t="s">
        <v>26</v>
      </c>
      <c r="Z3" s="70" t="s">
        <v>13</v>
      </c>
      <c r="AA3" s="122"/>
      <c r="AB3" s="122"/>
      <c r="AC3" s="122"/>
      <c r="AD3" s="64"/>
      <c r="AE3" s="22" t="s">
        <v>29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54</v>
      </c>
      <c r="D4" s="12" t="s">
        <v>22</v>
      </c>
      <c r="E4" s="17" t="s">
        <v>23</v>
      </c>
      <c r="F4" s="17">
        <v>4.0</v>
      </c>
      <c r="G4" s="93" t="s">
        <v>24</v>
      </c>
      <c r="H4" s="17">
        <v>2.0</v>
      </c>
      <c r="I4" s="17" t="s">
        <v>105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21" t="s">
        <v>150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4"/>
      <c r="X4" s="64"/>
      <c r="Y4" s="28" t="s">
        <v>66</v>
      </c>
      <c r="Z4" s="28">
        <v>3.0</v>
      </c>
      <c r="AA4" s="96"/>
      <c r="AB4" s="96"/>
      <c r="AC4" s="96"/>
      <c r="AD4" s="64"/>
      <c r="AE4" s="22" t="s">
        <v>34</v>
      </c>
      <c r="AF4" s="23" t="s">
        <v>150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51</v>
      </c>
      <c r="D5" s="12" t="s">
        <v>22</v>
      </c>
      <c r="E5" s="17" t="s">
        <v>151</v>
      </c>
      <c r="F5" s="17">
        <v>1.0</v>
      </c>
      <c r="G5" s="93" t="s">
        <v>24</v>
      </c>
      <c r="H5" s="17">
        <v>1.0</v>
      </c>
      <c r="I5" s="17" t="s">
        <v>152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33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4"/>
      <c r="X5" s="64"/>
      <c r="Y5" s="28" t="s">
        <v>36</v>
      </c>
      <c r="Z5" s="28">
        <v>0.0</v>
      </c>
      <c r="AA5" s="96"/>
      <c r="AB5" s="96"/>
      <c r="AC5" s="96"/>
      <c r="AD5" s="64"/>
      <c r="AE5" s="22" t="s">
        <v>38</v>
      </c>
      <c r="AF5" s="23" t="s">
        <v>25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55</v>
      </c>
      <c r="D6" s="12" t="s">
        <v>22</v>
      </c>
      <c r="E6" s="17" t="s">
        <v>25</v>
      </c>
      <c r="F6" s="17">
        <v>2.0</v>
      </c>
      <c r="G6" s="93" t="s">
        <v>24</v>
      </c>
      <c r="H6" s="17">
        <v>1.0</v>
      </c>
      <c r="I6" s="17" t="s">
        <v>66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45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4"/>
      <c r="X6" s="64"/>
      <c r="Y6" s="64"/>
      <c r="Z6" s="64"/>
      <c r="AA6" s="64"/>
      <c r="AB6" s="64"/>
      <c r="AC6" s="64"/>
      <c r="AD6" s="64"/>
      <c r="AE6" s="22" t="s">
        <v>41</v>
      </c>
      <c r="AF6" s="23" t="s">
        <v>105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52</v>
      </c>
      <c r="D7" s="12" t="s">
        <v>22</v>
      </c>
      <c r="E7" s="17" t="s">
        <v>45</v>
      </c>
      <c r="F7" s="17">
        <v>1.0</v>
      </c>
      <c r="G7" s="93" t="s">
        <v>24</v>
      </c>
      <c r="H7" s="17">
        <v>4.0</v>
      </c>
      <c r="I7" s="17" t="s">
        <v>102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21" t="s">
        <v>105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4"/>
      <c r="X7" s="64"/>
      <c r="Y7" s="64"/>
      <c r="Z7" s="64"/>
      <c r="AA7" s="64"/>
      <c r="AB7" s="64"/>
      <c r="AC7" s="64"/>
      <c r="AD7" s="64"/>
      <c r="AE7" s="22" t="s">
        <v>44</v>
      </c>
      <c r="AF7" s="23" t="s">
        <v>102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53</v>
      </c>
      <c r="D8" s="12" t="s">
        <v>22</v>
      </c>
      <c r="E8" s="45" t="s">
        <v>153</v>
      </c>
      <c r="F8" s="17">
        <v>2.0</v>
      </c>
      <c r="G8" s="93" t="s">
        <v>24</v>
      </c>
      <c r="H8" s="17">
        <v>3.0</v>
      </c>
      <c r="I8" s="45" t="s">
        <v>150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4"/>
      <c r="X8" s="64"/>
      <c r="Y8" s="64"/>
      <c r="Z8" s="64"/>
      <c r="AA8" s="64"/>
      <c r="AB8" s="64"/>
      <c r="AC8" s="64"/>
      <c r="AD8" s="64"/>
      <c r="AE8" s="53">
        <v>6.0</v>
      </c>
      <c r="AF8" s="23" t="s">
        <v>152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128</v>
      </c>
      <c r="D9" s="12" t="s">
        <v>78</v>
      </c>
      <c r="E9" s="17" t="s">
        <v>33</v>
      </c>
      <c r="F9" s="17">
        <v>6.0</v>
      </c>
      <c r="G9" s="93" t="s">
        <v>24</v>
      </c>
      <c r="H9" s="17">
        <v>0.0</v>
      </c>
      <c r="I9" s="17" t="s">
        <v>153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21" t="s">
        <v>152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4"/>
      <c r="X9" s="64"/>
      <c r="Y9" s="6" t="s">
        <v>20</v>
      </c>
      <c r="Z9" s="7"/>
      <c r="AA9" s="7"/>
      <c r="AB9" s="7"/>
      <c r="AC9" s="8"/>
      <c r="AD9" s="64"/>
      <c r="AE9" s="22">
        <v>7.0</v>
      </c>
      <c r="AF9" s="23" t="s">
        <v>66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74</v>
      </c>
      <c r="D10" s="12" t="s">
        <v>78</v>
      </c>
      <c r="E10" s="17" t="s">
        <v>105</v>
      </c>
      <c r="F10" s="17">
        <v>2.0</v>
      </c>
      <c r="G10" s="93" t="s">
        <v>24</v>
      </c>
      <c r="H10" s="17">
        <v>1.0</v>
      </c>
      <c r="I10" s="17" t="s">
        <v>36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21" t="s">
        <v>151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4"/>
      <c r="X10" s="64"/>
      <c r="Y10" s="70" t="s">
        <v>26</v>
      </c>
      <c r="Z10" s="70" t="s">
        <v>13</v>
      </c>
      <c r="AA10" s="70" t="s">
        <v>27</v>
      </c>
      <c r="AB10" s="70" t="s">
        <v>28</v>
      </c>
      <c r="AC10" s="70" t="s">
        <v>19</v>
      </c>
      <c r="AD10" s="64"/>
      <c r="AE10" s="22">
        <v>8.0</v>
      </c>
      <c r="AF10" s="23" t="s">
        <v>23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75</v>
      </c>
      <c r="D11" s="12" t="s">
        <v>78</v>
      </c>
      <c r="E11" s="17" t="s">
        <v>152</v>
      </c>
      <c r="F11" s="17">
        <v>2.0</v>
      </c>
      <c r="G11" s="93" t="s">
        <v>24</v>
      </c>
      <c r="H11" s="17">
        <v>0.0</v>
      </c>
      <c r="I11" s="17" t="s">
        <v>23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66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4"/>
      <c r="X11" s="64"/>
      <c r="Y11" s="73" t="s">
        <v>23</v>
      </c>
      <c r="Z11" s="73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4"/>
      <c r="AE11" s="74" t="s">
        <v>91</v>
      </c>
      <c r="AF11" s="23" t="s">
        <v>151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49</v>
      </c>
      <c r="D12" s="12" t="s">
        <v>22</v>
      </c>
      <c r="E12" s="17" t="s">
        <v>66</v>
      </c>
      <c r="F12" s="17">
        <v>3.0</v>
      </c>
      <c r="G12" s="93" t="s">
        <v>24</v>
      </c>
      <c r="H12" s="17">
        <v>3.0</v>
      </c>
      <c r="I12" s="17" t="s">
        <v>151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21" t="s">
        <v>23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4"/>
      <c r="X12" s="64"/>
      <c r="Y12" s="28" t="s">
        <v>154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4"/>
      <c r="AE12" s="77">
        <v>10.0</v>
      </c>
      <c r="AF12" s="23" t="s">
        <v>153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21</v>
      </c>
      <c r="D13" s="12" t="s">
        <v>22</v>
      </c>
      <c r="E13" s="17" t="s">
        <v>102</v>
      </c>
      <c r="F13" s="17">
        <v>3.0</v>
      </c>
      <c r="G13" s="93" t="s">
        <v>24</v>
      </c>
      <c r="H13" s="17">
        <v>2.0</v>
      </c>
      <c r="I13" s="17" t="s">
        <v>25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21" t="s">
        <v>102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4"/>
      <c r="X13" s="64"/>
      <c r="Y13" s="64"/>
      <c r="Z13" s="64"/>
      <c r="AA13" s="64"/>
      <c r="AB13" s="64"/>
      <c r="AC13" s="64"/>
      <c r="AD13" s="64"/>
      <c r="AE13" s="123">
        <v>11.0</v>
      </c>
      <c r="AF13" s="49" t="s">
        <v>36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30</v>
      </c>
      <c r="D14" s="12" t="s">
        <v>22</v>
      </c>
      <c r="E14" s="45" t="s">
        <v>150</v>
      </c>
      <c r="F14" s="17">
        <v>3.0</v>
      </c>
      <c r="G14" s="93" t="s">
        <v>24</v>
      </c>
      <c r="H14" s="17">
        <v>0.0</v>
      </c>
      <c r="I14" s="45" t="s">
        <v>45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21" t="s">
        <v>153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4"/>
      <c r="X14" s="64"/>
      <c r="Y14" s="64"/>
      <c r="Z14" s="64"/>
      <c r="AA14" s="64"/>
      <c r="AB14" s="64"/>
      <c r="AC14" s="64"/>
      <c r="AD14" s="64"/>
      <c r="AE14" s="123">
        <v>12.0</v>
      </c>
      <c r="AF14" s="93" t="s">
        <v>45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7" t="s">
        <v>33</v>
      </c>
      <c r="F15" s="17">
        <v>5.0</v>
      </c>
      <c r="G15" s="93" t="s">
        <v>24</v>
      </c>
      <c r="H15" s="17">
        <v>0.0</v>
      </c>
      <c r="I15" s="17" t="s">
        <v>105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64"/>
      <c r="AE15" s="35" t="s">
        <v>155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30</v>
      </c>
      <c r="D16" s="12" t="s">
        <v>22</v>
      </c>
      <c r="E16" s="17" t="s">
        <v>36</v>
      </c>
      <c r="F16" s="17">
        <v>0.0</v>
      </c>
      <c r="G16" s="93" t="s">
        <v>24</v>
      </c>
      <c r="H16" s="17">
        <v>8.0</v>
      </c>
      <c r="I16" s="17" t="s">
        <v>152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64"/>
      <c r="AE16" s="80"/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30</v>
      </c>
      <c r="D17" s="12" t="s">
        <v>22</v>
      </c>
      <c r="E17" s="17" t="s">
        <v>23</v>
      </c>
      <c r="F17" s="17">
        <v>4.0</v>
      </c>
      <c r="G17" s="93" t="s">
        <v>24</v>
      </c>
      <c r="H17" s="17">
        <v>5.0</v>
      </c>
      <c r="I17" s="17" t="s">
        <v>66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D17" s="64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55</v>
      </c>
      <c r="D18" s="12" t="s">
        <v>78</v>
      </c>
      <c r="E18" s="17" t="s">
        <v>151</v>
      </c>
      <c r="F18" s="17">
        <v>2.0</v>
      </c>
      <c r="G18" s="93" t="s">
        <v>24</v>
      </c>
      <c r="H18" s="17">
        <v>2.0</v>
      </c>
      <c r="I18" s="17" t="s">
        <v>102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D18" s="64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35</v>
      </c>
      <c r="D19" s="12" t="s">
        <v>22</v>
      </c>
      <c r="E19" s="45" t="s">
        <v>25</v>
      </c>
      <c r="F19" s="17">
        <v>0.0</v>
      </c>
      <c r="G19" s="93" t="s">
        <v>24</v>
      </c>
      <c r="H19" s="17">
        <v>3.0</v>
      </c>
      <c r="I19" s="45" t="s">
        <v>150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64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52</v>
      </c>
      <c r="D20" s="12" t="s">
        <v>78</v>
      </c>
      <c r="E20" s="17" t="s">
        <v>153</v>
      </c>
      <c r="F20" s="17">
        <v>10.0</v>
      </c>
      <c r="G20" s="93" t="s">
        <v>24</v>
      </c>
      <c r="H20" s="17">
        <v>1.0</v>
      </c>
      <c r="I20" s="17" t="s">
        <v>45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64"/>
      <c r="AJ20" s="4"/>
      <c r="AK20" s="4"/>
      <c r="AL20" s="4"/>
      <c r="AM20" s="4"/>
      <c r="AN20" s="4"/>
    </row>
    <row r="21" ht="15.75" customHeight="1">
      <c r="A21" s="10">
        <v>4.0</v>
      </c>
      <c r="B21" s="44">
        <v>45980.0</v>
      </c>
      <c r="C21" s="12" t="s">
        <v>35</v>
      </c>
      <c r="D21" s="12" t="s">
        <v>22</v>
      </c>
      <c r="E21" s="17" t="s">
        <v>105</v>
      </c>
      <c r="F21" s="17">
        <v>3.0</v>
      </c>
      <c r="G21" s="93" t="s">
        <v>24</v>
      </c>
      <c r="H21" s="17">
        <v>0.0</v>
      </c>
      <c r="I21" s="17" t="s">
        <v>153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64"/>
      <c r="AJ21" s="4"/>
      <c r="AK21" s="4"/>
      <c r="AL21" s="4"/>
      <c r="AM21" s="4"/>
      <c r="AN21" s="4"/>
    </row>
    <row r="22" ht="15.75" customHeight="1">
      <c r="A22" s="25"/>
      <c r="B22" s="44">
        <v>45980.0</v>
      </c>
      <c r="C22" s="12" t="s">
        <v>30</v>
      </c>
      <c r="D22" s="12" t="s">
        <v>22</v>
      </c>
      <c r="E22" s="17" t="s">
        <v>152</v>
      </c>
      <c r="F22" s="17">
        <v>2.0</v>
      </c>
      <c r="G22" s="93" t="s">
        <v>24</v>
      </c>
      <c r="H22" s="17">
        <v>4.0</v>
      </c>
      <c r="I22" s="17" t="s">
        <v>33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64"/>
      <c r="AJ22" s="4"/>
      <c r="AK22" s="4"/>
      <c r="AL22" s="4"/>
      <c r="AM22" s="4"/>
      <c r="AN22" s="4"/>
    </row>
    <row r="23" ht="15.75" customHeight="1">
      <c r="A23" s="25"/>
      <c r="B23" s="44">
        <v>45979.0</v>
      </c>
      <c r="C23" s="12" t="s">
        <v>49</v>
      </c>
      <c r="D23" s="12" t="s">
        <v>22</v>
      </c>
      <c r="E23" s="17" t="s">
        <v>66</v>
      </c>
      <c r="F23" s="17">
        <v>8.0</v>
      </c>
      <c r="G23" s="93" t="s">
        <v>24</v>
      </c>
      <c r="H23" s="17">
        <v>2.0</v>
      </c>
      <c r="I23" s="17" t="s">
        <v>36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64"/>
      <c r="AJ23" s="4"/>
      <c r="AK23" s="4"/>
      <c r="AL23" s="4"/>
      <c r="AM23" s="4"/>
      <c r="AN23" s="4"/>
    </row>
    <row r="24" ht="15.75" customHeight="1">
      <c r="A24" s="25"/>
      <c r="B24" s="44">
        <v>45979.0</v>
      </c>
      <c r="C24" s="12" t="s">
        <v>21</v>
      </c>
      <c r="D24" s="12" t="s">
        <v>22</v>
      </c>
      <c r="E24" s="17" t="s">
        <v>102</v>
      </c>
      <c r="F24" s="17">
        <v>1.0</v>
      </c>
      <c r="G24" s="93" t="s">
        <v>24</v>
      </c>
      <c r="H24" s="17">
        <v>0.0</v>
      </c>
      <c r="I24" s="17" t="s">
        <v>23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64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4">
        <v>45979.0</v>
      </c>
      <c r="C25" s="12" t="s">
        <v>30</v>
      </c>
      <c r="D25" s="12" t="s">
        <v>22</v>
      </c>
      <c r="E25" s="45" t="s">
        <v>150</v>
      </c>
      <c r="F25" s="17">
        <v>5.0</v>
      </c>
      <c r="G25" s="93" t="s">
        <v>24</v>
      </c>
      <c r="H25" s="17">
        <v>1.0</v>
      </c>
      <c r="I25" s="45" t="s">
        <v>151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64"/>
      <c r="AE25" s="35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4">
        <v>45979.0</v>
      </c>
      <c r="C26" s="12" t="s">
        <v>35</v>
      </c>
      <c r="D26" s="12" t="s">
        <v>22</v>
      </c>
      <c r="E26" s="17" t="s">
        <v>45</v>
      </c>
      <c r="F26" s="17">
        <v>1.0</v>
      </c>
      <c r="G26" s="93" t="s">
        <v>24</v>
      </c>
      <c r="H26" s="17">
        <v>12.0</v>
      </c>
      <c r="I26" s="17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6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4">
        <v>46008.0</v>
      </c>
      <c r="C27" s="12" t="s">
        <v>35</v>
      </c>
      <c r="D27" s="12" t="s">
        <v>22</v>
      </c>
      <c r="E27" s="17" t="s">
        <v>105</v>
      </c>
      <c r="F27" s="17">
        <v>6.0</v>
      </c>
      <c r="G27" s="93" t="s">
        <v>24</v>
      </c>
      <c r="H27" s="17">
        <v>2.0</v>
      </c>
      <c r="I27" s="17" t="s">
        <v>152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6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4">
        <v>45995.0</v>
      </c>
      <c r="C28" s="12" t="s">
        <v>21</v>
      </c>
      <c r="D28" s="12" t="s">
        <v>22</v>
      </c>
      <c r="E28" s="17" t="s">
        <v>33</v>
      </c>
      <c r="F28" s="17">
        <v>2.0</v>
      </c>
      <c r="G28" s="93" t="s">
        <v>24</v>
      </c>
      <c r="H28" s="17">
        <v>1.0</v>
      </c>
      <c r="I28" s="17" t="s">
        <v>66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64"/>
      <c r="AE28" s="35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4">
        <v>46079.0</v>
      </c>
      <c r="C29" s="12" t="s">
        <v>52</v>
      </c>
      <c r="D29" s="12" t="s">
        <v>78</v>
      </c>
      <c r="E29" s="17" t="s">
        <v>36</v>
      </c>
      <c r="F29" s="17">
        <v>1.0</v>
      </c>
      <c r="G29" s="93" t="s">
        <v>24</v>
      </c>
      <c r="H29" s="17">
        <v>2.0</v>
      </c>
      <c r="I29" s="17" t="s">
        <v>102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6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4">
        <v>45995.0</v>
      </c>
      <c r="C30" s="12" t="s">
        <v>35</v>
      </c>
      <c r="D30" s="12" t="s">
        <v>22</v>
      </c>
      <c r="E30" s="45" t="s">
        <v>23</v>
      </c>
      <c r="F30" s="17">
        <v>2.0</v>
      </c>
      <c r="G30" s="93" t="s">
        <v>24</v>
      </c>
      <c r="H30" s="17">
        <v>2.0</v>
      </c>
      <c r="I30" s="45" t="s">
        <v>150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6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4">
        <v>46083.0</v>
      </c>
      <c r="C31" s="12" t="s">
        <v>55</v>
      </c>
      <c r="D31" s="12" t="s">
        <v>78</v>
      </c>
      <c r="E31" s="17" t="s">
        <v>151</v>
      </c>
      <c r="F31" s="17">
        <v>7.0</v>
      </c>
      <c r="G31" s="93" t="s">
        <v>24</v>
      </c>
      <c r="H31" s="17">
        <v>1.0</v>
      </c>
      <c r="I31" s="17" t="s">
        <v>45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64"/>
      <c r="AE31" s="35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4">
        <v>45995.0</v>
      </c>
      <c r="C32" s="12" t="s">
        <v>35</v>
      </c>
      <c r="D32" s="12" t="s">
        <v>22</v>
      </c>
      <c r="E32" s="17" t="s">
        <v>153</v>
      </c>
      <c r="F32" s="17">
        <v>6.0</v>
      </c>
      <c r="G32" s="93" t="s">
        <v>24</v>
      </c>
      <c r="H32" s="17">
        <v>3.0</v>
      </c>
      <c r="I32" s="17" t="s">
        <v>25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6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4">
        <v>46075.0</v>
      </c>
      <c r="C33" s="12" t="s">
        <v>116</v>
      </c>
      <c r="D33" s="12" t="s">
        <v>78</v>
      </c>
      <c r="E33" s="17" t="s">
        <v>152</v>
      </c>
      <c r="F33" s="17">
        <v>2.0</v>
      </c>
      <c r="G33" s="93" t="s">
        <v>24</v>
      </c>
      <c r="H33" s="17">
        <v>0.0</v>
      </c>
      <c r="I33" s="17" t="s">
        <v>153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6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4">
        <v>46075.0</v>
      </c>
      <c r="C34" s="12" t="s">
        <v>77</v>
      </c>
      <c r="D34" s="12" t="s">
        <v>78</v>
      </c>
      <c r="E34" s="17" t="s">
        <v>66</v>
      </c>
      <c r="F34" s="17">
        <v>2.0</v>
      </c>
      <c r="G34" s="93" t="s">
        <v>24</v>
      </c>
      <c r="H34" s="17">
        <v>2.0</v>
      </c>
      <c r="I34" s="17" t="s">
        <v>105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64"/>
      <c r="AE34" s="35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4">
        <v>46075.0</v>
      </c>
      <c r="C35" s="12" t="s">
        <v>128</v>
      </c>
      <c r="D35" s="12" t="s">
        <v>78</v>
      </c>
      <c r="E35" s="17" t="s">
        <v>102</v>
      </c>
      <c r="F35" s="17">
        <v>0.0</v>
      </c>
      <c r="G35" s="93" t="s">
        <v>24</v>
      </c>
      <c r="H35" s="17">
        <v>3.0</v>
      </c>
      <c r="I35" s="17" t="s">
        <v>33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6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4">
        <v>46075.0</v>
      </c>
      <c r="C36" s="39" t="s">
        <v>74</v>
      </c>
      <c r="D36" s="12" t="s">
        <v>78</v>
      </c>
      <c r="E36" s="45" t="s">
        <v>150</v>
      </c>
      <c r="F36" s="17">
        <v>4.0</v>
      </c>
      <c r="G36" s="93" t="s">
        <v>24</v>
      </c>
      <c r="H36" s="17">
        <v>2.0</v>
      </c>
      <c r="I36" s="45" t="s">
        <v>36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6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4">
        <v>46075.0</v>
      </c>
      <c r="C37" s="12" t="s">
        <v>75</v>
      </c>
      <c r="D37" s="12" t="s">
        <v>78</v>
      </c>
      <c r="E37" s="17" t="s">
        <v>45</v>
      </c>
      <c r="F37" s="17">
        <v>1.0</v>
      </c>
      <c r="G37" s="93" t="s">
        <v>24</v>
      </c>
      <c r="H37" s="17">
        <v>8.0</v>
      </c>
      <c r="I37" s="17" t="s">
        <v>23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64"/>
      <c r="AJ37" s="4"/>
      <c r="AK37" s="4"/>
      <c r="AL37" s="4"/>
      <c r="AM37" s="4"/>
      <c r="AN37" s="4"/>
    </row>
    <row r="38" ht="15.75" customHeight="1">
      <c r="A38" s="29"/>
      <c r="B38" s="44">
        <v>46075.0</v>
      </c>
      <c r="C38" s="39" t="s">
        <v>127</v>
      </c>
      <c r="D38" s="12" t="s">
        <v>78</v>
      </c>
      <c r="E38" s="17" t="s">
        <v>25</v>
      </c>
      <c r="F38" s="17">
        <v>4.0</v>
      </c>
      <c r="G38" s="93" t="s">
        <v>24</v>
      </c>
      <c r="H38" s="17">
        <v>1.0</v>
      </c>
      <c r="I38" s="17" t="s">
        <v>151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64"/>
      <c r="AJ38" s="4"/>
      <c r="AK38" s="4"/>
      <c r="AL38" s="4"/>
      <c r="AM38" s="4"/>
      <c r="AN38" s="4"/>
    </row>
    <row r="39" ht="15.75" customHeight="1">
      <c r="A39" s="10">
        <v>7.0</v>
      </c>
      <c r="B39" s="44">
        <v>46084.0</v>
      </c>
      <c r="C39" s="12" t="s">
        <v>55</v>
      </c>
      <c r="D39" s="12" t="s">
        <v>78</v>
      </c>
      <c r="E39" s="17" t="s">
        <v>152</v>
      </c>
      <c r="F39" s="17">
        <v>6.0</v>
      </c>
      <c r="G39" s="93" t="s">
        <v>24</v>
      </c>
      <c r="H39" s="17">
        <v>5.0</v>
      </c>
      <c r="I39" s="17" t="s">
        <v>66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D39" s="64"/>
      <c r="AJ39" s="4"/>
      <c r="AK39" s="4"/>
      <c r="AL39" s="4"/>
      <c r="AM39" s="4"/>
      <c r="AN39" s="4"/>
    </row>
    <row r="40" ht="15.75" customHeight="1">
      <c r="A40" s="25"/>
      <c r="B40" s="44">
        <v>46084.0</v>
      </c>
      <c r="C40" s="12" t="s">
        <v>52</v>
      </c>
      <c r="D40" s="12" t="s">
        <v>78</v>
      </c>
      <c r="E40" s="17" t="s">
        <v>105</v>
      </c>
      <c r="F40" s="17">
        <v>3.0</v>
      </c>
      <c r="G40" s="93" t="s">
        <v>24</v>
      </c>
      <c r="H40" s="17">
        <v>0.0</v>
      </c>
      <c r="I40" s="14" t="s">
        <v>102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D40" s="64"/>
      <c r="AJ40" s="4"/>
      <c r="AK40" s="4"/>
      <c r="AL40" s="4"/>
      <c r="AM40" s="4"/>
      <c r="AN40" s="4"/>
    </row>
    <row r="41" ht="15.75" customHeight="1">
      <c r="A41" s="25"/>
      <c r="B41" s="44">
        <v>46084.0</v>
      </c>
      <c r="C41" s="12" t="s">
        <v>53</v>
      </c>
      <c r="D41" s="12" t="s">
        <v>78</v>
      </c>
      <c r="E41" s="45" t="s">
        <v>33</v>
      </c>
      <c r="F41" s="17">
        <v>4.0</v>
      </c>
      <c r="G41" s="93" t="s">
        <v>24</v>
      </c>
      <c r="H41" s="17">
        <v>3.0</v>
      </c>
      <c r="I41" s="45" t="s">
        <v>150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D41" s="64"/>
      <c r="AJ41" s="4"/>
      <c r="AK41" s="4"/>
      <c r="AL41" s="4"/>
      <c r="AM41" s="4"/>
      <c r="AN41" s="4"/>
    </row>
    <row r="42" ht="15.75" customHeight="1">
      <c r="A42" s="25"/>
      <c r="B42" s="44">
        <v>46086.0</v>
      </c>
      <c r="C42" s="12" t="s">
        <v>55</v>
      </c>
      <c r="D42" s="12" t="s">
        <v>78</v>
      </c>
      <c r="E42" s="17" t="s">
        <v>36</v>
      </c>
      <c r="F42" s="17">
        <v>5.0</v>
      </c>
      <c r="G42" s="93" t="s">
        <v>24</v>
      </c>
      <c r="H42" s="17">
        <v>3.0</v>
      </c>
      <c r="I42" s="17" t="s">
        <v>45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D42" s="64"/>
      <c r="AJ42" s="4"/>
      <c r="AK42" s="4"/>
      <c r="AL42" s="4"/>
      <c r="AM42" s="4"/>
      <c r="AN42" s="4"/>
    </row>
    <row r="43" ht="15.75" customHeight="1">
      <c r="A43" s="25"/>
      <c r="B43" s="44">
        <v>46086.0</v>
      </c>
      <c r="C43" s="12" t="s">
        <v>52</v>
      </c>
      <c r="D43" s="12" t="s">
        <v>78</v>
      </c>
      <c r="E43" s="17" t="s">
        <v>23</v>
      </c>
      <c r="F43" s="17">
        <v>1.0</v>
      </c>
      <c r="G43" s="93" t="s">
        <v>24</v>
      </c>
      <c r="H43" s="17">
        <v>4.0</v>
      </c>
      <c r="I43" s="17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D43" s="64"/>
      <c r="AJ43" s="4"/>
      <c r="AK43" s="4"/>
      <c r="AL43" s="4"/>
      <c r="AM43" s="4"/>
      <c r="AN43" s="4"/>
    </row>
    <row r="44" ht="15.75" customHeight="1">
      <c r="A44" s="29"/>
      <c r="B44" s="44">
        <v>46086.0</v>
      </c>
      <c r="C44" s="12" t="s">
        <v>53</v>
      </c>
      <c r="D44" s="12" t="s">
        <v>78</v>
      </c>
      <c r="E44" s="17" t="s">
        <v>153</v>
      </c>
      <c r="F44" s="17">
        <v>2.0</v>
      </c>
      <c r="G44" s="93" t="s">
        <v>24</v>
      </c>
      <c r="H44" s="17">
        <v>4.0</v>
      </c>
      <c r="I44" s="17" t="s">
        <v>151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D44" s="64"/>
      <c r="AJ44" s="4"/>
      <c r="AK44" s="4"/>
      <c r="AL44" s="4"/>
      <c r="AM44" s="4"/>
      <c r="AN44" s="4"/>
    </row>
    <row r="45" ht="15.75" customHeight="1">
      <c r="A45" s="10">
        <v>8.0</v>
      </c>
      <c r="B45" s="44">
        <v>46092.0</v>
      </c>
      <c r="C45" s="12" t="s">
        <v>55</v>
      </c>
      <c r="D45" s="12" t="s">
        <v>78</v>
      </c>
      <c r="E45" s="17" t="s">
        <v>66</v>
      </c>
      <c r="F45" s="17">
        <v>6.0</v>
      </c>
      <c r="G45" s="93" t="s">
        <v>24</v>
      </c>
      <c r="H45" s="17">
        <v>2.0</v>
      </c>
      <c r="I45" s="17" t="s">
        <v>153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D45" s="64"/>
      <c r="AJ45" s="4"/>
      <c r="AK45" s="4"/>
      <c r="AL45" s="4"/>
      <c r="AM45" s="4"/>
      <c r="AN45" s="4"/>
    </row>
    <row r="46" ht="15.75" customHeight="1">
      <c r="A46" s="25"/>
      <c r="B46" s="44">
        <v>46092.0</v>
      </c>
      <c r="C46" s="12" t="s">
        <v>52</v>
      </c>
      <c r="D46" s="12" t="s">
        <v>78</v>
      </c>
      <c r="E46" s="17" t="s">
        <v>102</v>
      </c>
      <c r="F46" s="17">
        <v>3.0</v>
      </c>
      <c r="G46" s="93" t="s">
        <v>24</v>
      </c>
      <c r="H46" s="17">
        <v>3.0</v>
      </c>
      <c r="I46" s="17" t="s">
        <v>152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6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4">
        <v>46092.0</v>
      </c>
      <c r="C47" s="12" t="s">
        <v>53</v>
      </c>
      <c r="D47" s="12" t="s">
        <v>78</v>
      </c>
      <c r="E47" s="45" t="s">
        <v>150</v>
      </c>
      <c r="F47" s="17">
        <v>3.0</v>
      </c>
      <c r="G47" s="93" t="s">
        <v>24</v>
      </c>
      <c r="H47" s="17">
        <v>0.0</v>
      </c>
      <c r="I47" s="17" t="s">
        <v>105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6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4">
        <v>46100.0</v>
      </c>
      <c r="C48" s="12" t="s">
        <v>55</v>
      </c>
      <c r="D48" s="12" t="s">
        <v>78</v>
      </c>
      <c r="E48" s="45" t="s">
        <v>45</v>
      </c>
      <c r="F48" s="17">
        <v>0.0</v>
      </c>
      <c r="G48" s="93" t="s">
        <v>24</v>
      </c>
      <c r="H48" s="17">
        <v>2.0</v>
      </c>
      <c r="I48" s="45" t="s">
        <v>33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4">
        <v>46100.0</v>
      </c>
      <c r="C49" s="12" t="s">
        <v>52</v>
      </c>
      <c r="D49" s="12" t="s">
        <v>78</v>
      </c>
      <c r="E49" s="17" t="s">
        <v>25</v>
      </c>
      <c r="F49" s="17">
        <v>5.0</v>
      </c>
      <c r="G49" s="93" t="s">
        <v>24</v>
      </c>
      <c r="H49" s="17">
        <v>0.0</v>
      </c>
      <c r="I49" s="17" t="s">
        <v>36</v>
      </c>
      <c r="J49" s="64"/>
      <c r="K49" s="4">
        <f t="shared" si="1"/>
        <v>3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4">
        <v>46100.0</v>
      </c>
      <c r="C50" s="12" t="s">
        <v>53</v>
      </c>
      <c r="D50" s="12" t="s">
        <v>78</v>
      </c>
      <c r="E50" s="17" t="s">
        <v>151</v>
      </c>
      <c r="F50" s="17">
        <v>3.0</v>
      </c>
      <c r="G50" s="93" t="s">
        <v>24</v>
      </c>
      <c r="H50" s="17">
        <v>5.0</v>
      </c>
      <c r="I50" s="17" t="s">
        <v>23</v>
      </c>
      <c r="J50" s="64"/>
      <c r="K50" s="4">
        <f t="shared" si="1"/>
        <v>0</v>
      </c>
      <c r="L50" s="18">
        <f t="shared" si="2"/>
        <v>3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4">
        <v>46097.0</v>
      </c>
      <c r="C51" s="12" t="s">
        <v>55</v>
      </c>
      <c r="D51" s="12" t="s">
        <v>78</v>
      </c>
      <c r="E51" s="17" t="s">
        <v>66</v>
      </c>
      <c r="F51" s="17">
        <v>3.0</v>
      </c>
      <c r="G51" s="93" t="s">
        <v>24</v>
      </c>
      <c r="H51" s="17">
        <v>3.0</v>
      </c>
      <c r="I51" s="17" t="s">
        <v>102</v>
      </c>
      <c r="J51" s="64"/>
      <c r="K51" s="4">
        <f t="shared" si="1"/>
        <v>1</v>
      </c>
      <c r="L51" s="18">
        <f t="shared" si="2"/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4">
        <v>46097.0</v>
      </c>
      <c r="C52" s="12" t="s">
        <v>52</v>
      </c>
      <c r="D52" s="12" t="s">
        <v>78</v>
      </c>
      <c r="E52" s="45" t="s">
        <v>152</v>
      </c>
      <c r="F52" s="17">
        <v>3.0</v>
      </c>
      <c r="G52" s="93" t="s">
        <v>24</v>
      </c>
      <c r="H52" s="17">
        <v>7.0</v>
      </c>
      <c r="I52" s="45" t="s">
        <v>150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4">
        <v>46106.0</v>
      </c>
      <c r="C53" s="12" t="s">
        <v>53</v>
      </c>
      <c r="D53" s="12" t="s">
        <v>78</v>
      </c>
      <c r="E53" s="17" t="s">
        <v>105</v>
      </c>
      <c r="F53" s="17">
        <v>10.0</v>
      </c>
      <c r="G53" s="93" t="s">
        <v>24</v>
      </c>
      <c r="H53" s="17">
        <v>0.0</v>
      </c>
      <c r="I53" s="17" t="s">
        <v>45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4">
        <v>46106.0</v>
      </c>
      <c r="C54" s="12" t="s">
        <v>52</v>
      </c>
      <c r="D54" s="12" t="s">
        <v>78</v>
      </c>
      <c r="E54" s="17" t="s">
        <v>33</v>
      </c>
      <c r="F54" s="17">
        <v>0.0</v>
      </c>
      <c r="G54" s="93" t="s">
        <v>24</v>
      </c>
      <c r="H54" s="17">
        <v>4.0</v>
      </c>
      <c r="I54" s="17" t="s">
        <v>25</v>
      </c>
      <c r="J54" s="64"/>
      <c r="K54" s="4">
        <f t="shared" si="1"/>
        <v>0</v>
      </c>
      <c r="L54" s="18">
        <f t="shared" si="2"/>
        <v>3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4">
        <v>46107.0</v>
      </c>
      <c r="C55" s="12" t="s">
        <v>128</v>
      </c>
      <c r="D55" s="12" t="s">
        <v>78</v>
      </c>
      <c r="E55" s="17" t="s">
        <v>36</v>
      </c>
      <c r="F55" s="17">
        <v>3.0</v>
      </c>
      <c r="G55" s="93" t="s">
        <v>24</v>
      </c>
      <c r="H55" s="17">
        <v>7.0</v>
      </c>
      <c r="I55" s="17" t="s">
        <v>151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4">
        <v>46104.0</v>
      </c>
      <c r="C56" s="12" t="s">
        <v>53</v>
      </c>
      <c r="D56" s="12" t="s">
        <v>78</v>
      </c>
      <c r="E56" s="17" t="s">
        <v>153</v>
      </c>
      <c r="F56" s="17">
        <v>2.0</v>
      </c>
      <c r="G56" s="93" t="s">
        <v>24</v>
      </c>
      <c r="H56" s="17">
        <v>6.0</v>
      </c>
      <c r="I56" s="17" t="s">
        <v>23</v>
      </c>
      <c r="J56" s="64"/>
      <c r="K56" s="4">
        <f t="shared" si="1"/>
        <v>0</v>
      </c>
      <c r="L56" s="18">
        <f t="shared" si="2"/>
        <v>3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4">
        <v>46127.0</v>
      </c>
      <c r="C57" s="12" t="s">
        <v>52</v>
      </c>
      <c r="D57" s="12" t="s">
        <v>78</v>
      </c>
      <c r="E57" s="17" t="s">
        <v>153</v>
      </c>
      <c r="F57" s="17">
        <v>3.0</v>
      </c>
      <c r="G57" s="93" t="s">
        <v>24</v>
      </c>
      <c r="H57" s="17">
        <v>1.0</v>
      </c>
      <c r="I57" s="17" t="s">
        <v>102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4">
        <v>46127.0</v>
      </c>
      <c r="C58" s="12" t="s">
        <v>51</v>
      </c>
      <c r="D58" s="12" t="s">
        <v>78</v>
      </c>
      <c r="E58" s="45" t="s">
        <v>150</v>
      </c>
      <c r="F58" s="17">
        <v>4.0</v>
      </c>
      <c r="G58" s="93" t="s">
        <v>24</v>
      </c>
      <c r="H58" s="17">
        <v>4.0</v>
      </c>
      <c r="I58" s="45" t="s">
        <v>66</v>
      </c>
      <c r="J58" s="64"/>
      <c r="K58" s="4">
        <f t="shared" si="1"/>
        <v>1</v>
      </c>
      <c r="L58" s="18">
        <f t="shared" si="2"/>
        <v>1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4">
        <v>46127.0</v>
      </c>
      <c r="C59" s="12" t="s">
        <v>149</v>
      </c>
      <c r="D59" s="12" t="s">
        <v>22</v>
      </c>
      <c r="E59" s="17" t="s">
        <v>45</v>
      </c>
      <c r="F59" s="17">
        <v>0.0</v>
      </c>
      <c r="G59" s="93" t="s">
        <v>24</v>
      </c>
      <c r="H59" s="17">
        <v>3.0</v>
      </c>
      <c r="I59" s="17" t="s">
        <v>152</v>
      </c>
      <c r="J59" s="64"/>
      <c r="K59" s="4">
        <f t="shared" si="1"/>
        <v>0</v>
      </c>
      <c r="L59" s="18">
        <f t="shared" si="2"/>
        <v>3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4">
        <v>46127.0</v>
      </c>
      <c r="C60" s="12" t="s">
        <v>55</v>
      </c>
      <c r="D60" s="12" t="s">
        <v>78</v>
      </c>
      <c r="E60" s="17" t="s">
        <v>25</v>
      </c>
      <c r="F60" s="17">
        <v>1.0</v>
      </c>
      <c r="G60" s="93" t="s">
        <v>24</v>
      </c>
      <c r="H60" s="17">
        <v>1.0</v>
      </c>
      <c r="I60" s="17" t="s">
        <v>105</v>
      </c>
      <c r="J60" s="64"/>
      <c r="K60" s="4">
        <f t="shared" si="1"/>
        <v>1</v>
      </c>
      <c r="L60" s="18">
        <f t="shared" si="2"/>
        <v>1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4">
        <v>46127.0</v>
      </c>
      <c r="C61" s="12" t="s">
        <v>54</v>
      </c>
      <c r="D61" s="12" t="s">
        <v>22</v>
      </c>
      <c r="E61" s="17" t="s">
        <v>151</v>
      </c>
      <c r="F61" s="17">
        <v>1.0</v>
      </c>
      <c r="G61" s="93" t="s">
        <v>24</v>
      </c>
      <c r="H61" s="17">
        <v>4.0</v>
      </c>
      <c r="I61" s="17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4">
        <v>46127.0</v>
      </c>
      <c r="C62" s="12" t="s">
        <v>53</v>
      </c>
      <c r="D62" s="12" t="s">
        <v>78</v>
      </c>
      <c r="E62" s="17" t="s">
        <v>23</v>
      </c>
      <c r="F62" s="17">
        <v>5.0</v>
      </c>
      <c r="G62" s="93" t="s">
        <v>24</v>
      </c>
      <c r="H62" s="17">
        <v>2.0</v>
      </c>
      <c r="I62" s="17" t="s">
        <v>36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4">
        <v>46131.0</v>
      </c>
      <c r="C63" s="12" t="s">
        <v>51</v>
      </c>
      <c r="D63" s="12" t="s">
        <v>22</v>
      </c>
      <c r="E63" s="45" t="s">
        <v>102</v>
      </c>
      <c r="F63" s="17">
        <v>10.0</v>
      </c>
      <c r="G63" s="93" t="s">
        <v>24</v>
      </c>
      <c r="H63" s="17">
        <v>6.0</v>
      </c>
      <c r="I63" s="45" t="s">
        <v>150</v>
      </c>
      <c r="J63" s="64"/>
      <c r="K63" s="4">
        <f t="shared" si="1"/>
        <v>3</v>
      </c>
      <c r="L63" s="18">
        <f t="shared" si="2"/>
        <v>0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4">
        <v>46134.0</v>
      </c>
      <c r="C64" s="12" t="s">
        <v>51</v>
      </c>
      <c r="D64" s="12" t="s">
        <v>78</v>
      </c>
      <c r="E64" s="45" t="s">
        <v>66</v>
      </c>
      <c r="F64" s="17">
        <v>11.0</v>
      </c>
      <c r="G64" s="93" t="s">
        <v>24</v>
      </c>
      <c r="H64" s="17">
        <v>0.0</v>
      </c>
      <c r="I64" s="45" t="s">
        <v>45</v>
      </c>
      <c r="J64" s="64"/>
      <c r="K64" s="4">
        <f t="shared" si="1"/>
        <v>3</v>
      </c>
      <c r="L64" s="18">
        <f t="shared" si="2"/>
        <v>0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4">
        <v>46134.0</v>
      </c>
      <c r="C65" s="12" t="s">
        <v>55</v>
      </c>
      <c r="D65" s="12" t="s">
        <v>78</v>
      </c>
      <c r="E65" s="45" t="s">
        <v>152</v>
      </c>
      <c r="F65" s="17">
        <v>1.0</v>
      </c>
      <c r="G65" s="93" t="s">
        <v>24</v>
      </c>
      <c r="H65" s="17">
        <v>2.0</v>
      </c>
      <c r="I65" s="45" t="s">
        <v>25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4">
        <v>46134.0</v>
      </c>
      <c r="C66" s="12" t="s">
        <v>149</v>
      </c>
      <c r="D66" s="12" t="s">
        <v>22</v>
      </c>
      <c r="E66" s="17" t="s">
        <v>105</v>
      </c>
      <c r="F66" s="17">
        <v>7.0</v>
      </c>
      <c r="G66" s="93" t="s">
        <v>24</v>
      </c>
      <c r="H66" s="17">
        <v>5.0</v>
      </c>
      <c r="I66" s="45" t="s">
        <v>151</v>
      </c>
      <c r="J66" s="64"/>
      <c r="K66" s="4">
        <f t="shared" si="1"/>
        <v>3</v>
      </c>
      <c r="L66" s="18">
        <f t="shared" si="2"/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4">
        <v>46134.0</v>
      </c>
      <c r="C67" s="12" t="s">
        <v>52</v>
      </c>
      <c r="D67" s="12" t="s">
        <v>78</v>
      </c>
      <c r="E67" s="45" t="s">
        <v>33</v>
      </c>
      <c r="F67" s="17">
        <v>10.0</v>
      </c>
      <c r="G67" s="93" t="s">
        <v>24</v>
      </c>
      <c r="H67" s="17">
        <v>2.0</v>
      </c>
      <c r="I67" s="45" t="s">
        <v>23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64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4">
        <v>46134.0</v>
      </c>
      <c r="C68" s="12" t="s">
        <v>53</v>
      </c>
      <c r="D68" s="12" t="s">
        <v>78</v>
      </c>
      <c r="E68" s="45" t="s">
        <v>36</v>
      </c>
      <c r="F68" s="17">
        <v>7.0</v>
      </c>
      <c r="G68" s="93" t="s">
        <v>24</v>
      </c>
      <c r="H68" s="17">
        <v>3.0</v>
      </c>
      <c r="I68" s="45" t="s">
        <v>153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64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4"/>
      <c r="B69" s="64"/>
      <c r="C69" s="64"/>
      <c r="D69" s="64"/>
      <c r="E69" s="37"/>
      <c r="F69" s="64"/>
      <c r="G69" s="64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4"/>
      <c r="S69" s="4"/>
      <c r="T69" s="4"/>
      <c r="U69" s="4"/>
      <c r="V69" s="4"/>
      <c r="W69" s="64"/>
      <c r="X69" s="64"/>
      <c r="Y69" s="64"/>
      <c r="Z69" s="64"/>
      <c r="AA69" s="64"/>
      <c r="AB69" s="64"/>
      <c r="AC69" s="64"/>
      <c r="AD69" s="64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4"/>
      <c r="B70" s="64"/>
      <c r="C70" s="64"/>
      <c r="D70" s="64"/>
      <c r="E70" s="37"/>
      <c r="F70" s="64"/>
      <c r="G70" s="64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4"/>
      <c r="S70" s="4"/>
      <c r="T70" s="4"/>
      <c r="U70" s="4"/>
      <c r="V70" s="4"/>
      <c r="W70" s="64"/>
      <c r="X70" s="64"/>
      <c r="Y70" s="64"/>
      <c r="Z70" s="64"/>
      <c r="AA70" s="64"/>
      <c r="AB70" s="64"/>
      <c r="AC70" s="64"/>
      <c r="AD70" s="64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4"/>
      <c r="B71" s="64"/>
      <c r="C71" s="64"/>
      <c r="D71" s="64"/>
      <c r="E71" s="37"/>
      <c r="F71" s="64"/>
      <c r="G71" s="64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4"/>
      <c r="S71" s="4"/>
      <c r="T71" s="4"/>
      <c r="U71" s="4"/>
      <c r="V71" s="4"/>
      <c r="W71" s="64"/>
      <c r="X71" s="64"/>
      <c r="Y71" s="64"/>
      <c r="Z71" s="64"/>
      <c r="AA71" s="64"/>
      <c r="AB71" s="64"/>
      <c r="AC71" s="64"/>
      <c r="AD71" s="64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4"/>
      <c r="B72" s="64"/>
      <c r="C72" s="64"/>
      <c r="D72" s="64"/>
      <c r="E72" s="37"/>
      <c r="F72" s="64"/>
      <c r="G72" s="64"/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4"/>
      <c r="S72" s="4"/>
      <c r="T72" s="4"/>
      <c r="U72" s="4"/>
      <c r="V72" s="4"/>
      <c r="W72" s="64"/>
      <c r="X72" s="64"/>
      <c r="Y72" s="64"/>
      <c r="Z72" s="64"/>
      <c r="AA72" s="64"/>
      <c r="AB72" s="64"/>
      <c r="AC72" s="64"/>
      <c r="AD72" s="64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19" t="s">
        <v>156</v>
      </c>
      <c r="H73" s="64"/>
      <c r="I73" s="37"/>
      <c r="J73" s="64"/>
      <c r="K73" s="64"/>
      <c r="L73" s="64"/>
      <c r="M73" s="64"/>
      <c r="N73" s="64"/>
      <c r="O73" s="64"/>
      <c r="P73" s="64"/>
      <c r="Q73" s="64"/>
      <c r="R73" s="4"/>
      <c r="S73" s="4"/>
      <c r="T73" s="4"/>
      <c r="U73" s="4"/>
      <c r="V73" s="4"/>
      <c r="W73" s="64"/>
      <c r="X73" s="64"/>
      <c r="Y73" s="64"/>
      <c r="Z73" s="64"/>
      <c r="AA73" s="64"/>
      <c r="AB73" s="64"/>
      <c r="AC73" s="64"/>
      <c r="AD73" s="64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64"/>
      <c r="X74" s="64"/>
      <c r="Y74" s="64"/>
      <c r="Z74" s="64"/>
      <c r="AA74" s="64"/>
      <c r="AB74" s="64"/>
      <c r="AC74" s="64"/>
      <c r="AD74" s="64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52</v>
      </c>
      <c r="D75" s="39" t="s">
        <v>78</v>
      </c>
      <c r="E75" s="45" t="s">
        <v>104</v>
      </c>
      <c r="F75" s="45">
        <v>3.0</v>
      </c>
      <c r="G75" s="93" t="s">
        <v>24</v>
      </c>
      <c r="H75" s="45">
        <v>1.0</v>
      </c>
      <c r="I75" s="45" t="s">
        <v>107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107" t="s">
        <v>107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4"/>
      <c r="X75" s="64"/>
      <c r="Y75" s="64"/>
      <c r="Z75" s="64"/>
      <c r="AA75" s="64"/>
      <c r="AB75" s="64"/>
      <c r="AC75" s="64"/>
      <c r="AD75" s="64"/>
      <c r="AE75" s="46" t="s">
        <v>29</v>
      </c>
      <c r="AF75" s="23" t="str">
        <f t="array" ref="AF75:AN83">SORT(O75:W83,2,FALSE,9,FALSE,8,FALSE())</f>
        <v>Eng. Informática</v>
      </c>
      <c r="AG75" s="23">
        <v>18.0</v>
      </c>
      <c r="AH75" s="23">
        <v>6.0</v>
      </c>
      <c r="AI75" s="23">
        <v>0.0</v>
      </c>
      <c r="AJ75" s="23">
        <v>2.0</v>
      </c>
      <c r="AK75" s="23">
        <v>44.0</v>
      </c>
      <c r="AL75" s="23">
        <v>12.0</v>
      </c>
      <c r="AM75" s="23">
        <v>32.0</v>
      </c>
      <c r="AN75" s="18"/>
    </row>
    <row r="76" ht="15.75" customHeight="1">
      <c r="A76" s="25"/>
      <c r="B76" s="11">
        <v>45943.0</v>
      </c>
      <c r="C76" s="12" t="s">
        <v>53</v>
      </c>
      <c r="D76" s="39" t="s">
        <v>78</v>
      </c>
      <c r="E76" s="45" t="s">
        <v>67</v>
      </c>
      <c r="F76" s="45">
        <v>0.0</v>
      </c>
      <c r="G76" s="93" t="s">
        <v>24</v>
      </c>
      <c r="H76" s="45">
        <v>4.0</v>
      </c>
      <c r="I76" s="45" t="s">
        <v>43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107" t="s">
        <v>104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4"/>
      <c r="X76" s="64"/>
      <c r="Y76" s="64"/>
      <c r="Z76" s="64"/>
      <c r="AA76" s="64"/>
      <c r="AB76" s="64"/>
      <c r="AC76" s="64"/>
      <c r="AD76" s="64"/>
      <c r="AE76" s="124" t="s">
        <v>106</v>
      </c>
      <c r="AF76" s="23" t="s">
        <v>32</v>
      </c>
      <c r="AG76" s="23">
        <v>18.0</v>
      </c>
      <c r="AH76" s="23">
        <v>6.0</v>
      </c>
      <c r="AI76" s="23">
        <v>0.0</v>
      </c>
      <c r="AJ76" s="23">
        <v>2.0</v>
      </c>
      <c r="AK76" s="23">
        <v>46.0</v>
      </c>
      <c r="AL76" s="23">
        <v>19.0</v>
      </c>
      <c r="AM76" s="23">
        <v>27.0</v>
      </c>
      <c r="AN76" s="18"/>
    </row>
    <row r="77" ht="15.75" customHeight="1">
      <c r="A77" s="25"/>
      <c r="B77" s="11">
        <v>45943.0</v>
      </c>
      <c r="C77" s="12" t="s">
        <v>51</v>
      </c>
      <c r="D77" s="39" t="s">
        <v>78</v>
      </c>
      <c r="E77" s="45" t="s">
        <v>32</v>
      </c>
      <c r="F77" s="45">
        <v>12.0</v>
      </c>
      <c r="G77" s="93" t="s">
        <v>24</v>
      </c>
      <c r="H77" s="45">
        <v>1.0</v>
      </c>
      <c r="I77" s="45" t="s">
        <v>68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107" t="s">
        <v>67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4"/>
      <c r="X77" s="64"/>
      <c r="Y77" s="64"/>
      <c r="Z77" s="64"/>
      <c r="AA77" s="64"/>
      <c r="AB77" s="64"/>
      <c r="AC77" s="64"/>
      <c r="AD77" s="64"/>
      <c r="AE77" s="22">
        <v>3.0</v>
      </c>
      <c r="AF77" s="23" t="s">
        <v>63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55</v>
      </c>
      <c r="D78" s="39" t="s">
        <v>78</v>
      </c>
      <c r="E78" s="45" t="s">
        <v>63</v>
      </c>
      <c r="F78" s="45">
        <v>12.0</v>
      </c>
      <c r="G78" s="93" t="s">
        <v>24</v>
      </c>
      <c r="H78" s="45">
        <v>3.0</v>
      </c>
      <c r="I78" s="45" t="s">
        <v>157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107" t="s">
        <v>32</v>
      </c>
      <c r="P78" s="18">
        <f t="shared" si="13"/>
        <v>18</v>
      </c>
      <c r="Q78" s="18">
        <f t="shared" si="14"/>
        <v>6</v>
      </c>
      <c r="R78" s="20">
        <f t="shared" si="15"/>
        <v>0</v>
      </c>
      <c r="S78" s="20">
        <f t="shared" si="16"/>
        <v>2</v>
      </c>
      <c r="T78" s="18">
        <f t="shared" si="17"/>
        <v>46</v>
      </c>
      <c r="U78" s="20">
        <f t="shared" si="18"/>
        <v>19</v>
      </c>
      <c r="V78" s="18">
        <f t="shared" si="19"/>
        <v>27</v>
      </c>
      <c r="W78" s="64"/>
      <c r="X78" s="64"/>
      <c r="Y78" s="64"/>
      <c r="Z78" s="64"/>
      <c r="AA78" s="64"/>
      <c r="AB78" s="64"/>
      <c r="AC78" s="64"/>
      <c r="AD78" s="64"/>
      <c r="AE78" s="22">
        <v>4.0</v>
      </c>
      <c r="AF78" s="23" t="s">
        <v>104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25"/>
      <c r="C79" s="93"/>
      <c r="D79" s="68"/>
      <c r="E79" s="45" t="s">
        <v>59</v>
      </c>
      <c r="F79" s="68"/>
      <c r="G79" s="93" t="s">
        <v>24</v>
      </c>
      <c r="H79" s="68"/>
      <c r="I79" s="45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107" t="s">
        <v>63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4"/>
      <c r="X79" s="64"/>
      <c r="Y79" s="64"/>
      <c r="Z79" s="64"/>
      <c r="AA79" s="64"/>
      <c r="AB79" s="64"/>
      <c r="AC79" s="64"/>
      <c r="AD79" s="64"/>
      <c r="AE79" s="22">
        <v>5.0</v>
      </c>
      <c r="AF79" s="23" t="s">
        <v>67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126">
        <v>45957.0</v>
      </c>
      <c r="C80" s="39" t="s">
        <v>51</v>
      </c>
      <c r="D80" s="39" t="s">
        <v>78</v>
      </c>
      <c r="E80" s="45" t="s">
        <v>107</v>
      </c>
      <c r="F80" s="45">
        <v>3.0</v>
      </c>
      <c r="G80" s="93" t="s">
        <v>24</v>
      </c>
      <c r="H80" s="45">
        <v>3.0</v>
      </c>
      <c r="I80" s="45" t="s">
        <v>67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107" t="s">
        <v>59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4"/>
      <c r="X80" s="64"/>
      <c r="Y80" s="64"/>
      <c r="Z80" s="64"/>
      <c r="AA80" s="64"/>
      <c r="AB80" s="64"/>
      <c r="AC80" s="64"/>
      <c r="AD80" s="64"/>
      <c r="AE80" s="22">
        <v>6.0</v>
      </c>
      <c r="AF80" s="23" t="s">
        <v>68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8"/>
      <c r="C81" s="99"/>
      <c r="D81" s="95"/>
      <c r="E81" s="45">
        <v>0.0</v>
      </c>
      <c r="F81" s="68"/>
      <c r="G81" s="93" t="s">
        <v>24</v>
      </c>
      <c r="H81" s="68"/>
      <c r="I81" s="45" t="s">
        <v>104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107" t="s">
        <v>157</v>
      </c>
      <c r="P81" s="18">
        <f t="shared" si="13"/>
        <v>7</v>
      </c>
      <c r="Q81" s="18">
        <f t="shared" si="14"/>
        <v>2</v>
      </c>
      <c r="R81" s="20">
        <f t="shared" si="15"/>
        <v>1</v>
      </c>
      <c r="S81" s="20">
        <f t="shared" si="16"/>
        <v>5</v>
      </c>
      <c r="T81" s="18">
        <f t="shared" si="17"/>
        <v>12</v>
      </c>
      <c r="U81" s="20">
        <f t="shared" si="18"/>
        <v>47</v>
      </c>
      <c r="V81" s="18">
        <f t="shared" si="19"/>
        <v>-35</v>
      </c>
      <c r="W81" s="64"/>
      <c r="X81" s="64"/>
      <c r="Y81" s="64"/>
      <c r="Z81" s="64"/>
      <c r="AA81" s="64"/>
      <c r="AB81" s="64"/>
      <c r="AC81" s="64"/>
      <c r="AD81" s="64"/>
      <c r="AE81" s="22">
        <v>7.0</v>
      </c>
      <c r="AF81" s="23" t="s">
        <v>59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126">
        <v>45957.0</v>
      </c>
      <c r="C82" s="12" t="s">
        <v>55</v>
      </c>
      <c r="D82" s="39" t="s">
        <v>78</v>
      </c>
      <c r="E82" s="45" t="s">
        <v>43</v>
      </c>
      <c r="F82" s="45">
        <v>2.0</v>
      </c>
      <c r="G82" s="93" t="s">
        <v>24</v>
      </c>
      <c r="H82" s="45">
        <v>4.0</v>
      </c>
      <c r="I82" s="45" t="s">
        <v>32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107" t="s">
        <v>68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4"/>
      <c r="X82" s="64"/>
      <c r="Y82" s="64"/>
      <c r="Z82" s="64"/>
      <c r="AA82" s="64"/>
      <c r="AB82" s="64"/>
      <c r="AC82" s="64"/>
      <c r="AD82" s="64"/>
      <c r="AE82" s="22">
        <v>8.0</v>
      </c>
      <c r="AF82" s="23" t="s">
        <v>157</v>
      </c>
      <c r="AG82" s="23">
        <v>7.0</v>
      </c>
      <c r="AH82" s="23">
        <v>2.0</v>
      </c>
      <c r="AI82" s="23">
        <v>1.0</v>
      </c>
      <c r="AJ82" s="23">
        <v>5.0</v>
      </c>
      <c r="AK82" s="23">
        <v>12.0</v>
      </c>
      <c r="AL82" s="23">
        <v>47.0</v>
      </c>
      <c r="AM82" s="23">
        <v>-35.0</v>
      </c>
      <c r="AN82" s="18"/>
    </row>
    <row r="83" ht="15.75" customHeight="1">
      <c r="A83" s="25"/>
      <c r="B83" s="126">
        <v>45957.0</v>
      </c>
      <c r="C83" s="12" t="s">
        <v>52</v>
      </c>
      <c r="D83" s="39" t="s">
        <v>78</v>
      </c>
      <c r="E83" s="45" t="s">
        <v>68</v>
      </c>
      <c r="F83" s="45">
        <v>4.0</v>
      </c>
      <c r="G83" s="93" t="s">
        <v>24</v>
      </c>
      <c r="H83" s="45">
        <v>9.0</v>
      </c>
      <c r="I83" s="45" t="s">
        <v>63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107" t="s">
        <v>43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4"/>
      <c r="X83" s="64"/>
      <c r="Y83" s="64"/>
      <c r="Z83" s="64"/>
      <c r="AA83" s="64"/>
      <c r="AB83" s="64"/>
      <c r="AC83" s="64"/>
      <c r="AD83" s="64"/>
      <c r="AE83" s="22">
        <v>9.0</v>
      </c>
      <c r="AF83" s="23" t="s">
        <v>107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9">
        <v>35.0</v>
      </c>
      <c r="AM83" s="49">
        <v>-22.0</v>
      </c>
      <c r="AN83" s="18"/>
    </row>
    <row r="84" ht="15.75" customHeight="1">
      <c r="A84" s="25"/>
      <c r="B84" s="126">
        <v>45957.0</v>
      </c>
      <c r="C84" s="12" t="s">
        <v>53</v>
      </c>
      <c r="D84" s="39" t="s">
        <v>78</v>
      </c>
      <c r="E84" s="45" t="s">
        <v>157</v>
      </c>
      <c r="F84" s="45">
        <v>2.0</v>
      </c>
      <c r="G84" s="93" t="s">
        <v>24</v>
      </c>
      <c r="H84" s="45">
        <v>2.0</v>
      </c>
      <c r="I84" s="45" t="s">
        <v>59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4"/>
      <c r="X84" s="64"/>
      <c r="Y84" s="64"/>
      <c r="Z84" s="64"/>
      <c r="AA84" s="64"/>
      <c r="AB84" s="64"/>
      <c r="AC84" s="64"/>
      <c r="AD84" s="64"/>
      <c r="AE84" s="35" t="s">
        <v>158</v>
      </c>
      <c r="AH84" s="32"/>
      <c r="AI84" s="32"/>
      <c r="AJ84" s="32"/>
      <c r="AK84" s="32"/>
      <c r="AL84" s="127"/>
      <c r="AM84" s="127"/>
      <c r="AN84" s="18"/>
    </row>
    <row r="85" ht="15.75" customHeight="1">
      <c r="A85" s="10">
        <v>3.0</v>
      </c>
      <c r="B85" s="11">
        <v>45974.0</v>
      </c>
      <c r="C85" s="39" t="s">
        <v>21</v>
      </c>
      <c r="D85" s="39" t="s">
        <v>22</v>
      </c>
      <c r="E85" s="45" t="s">
        <v>32</v>
      </c>
      <c r="F85" s="45">
        <v>5.0</v>
      </c>
      <c r="G85" s="93" t="s">
        <v>24</v>
      </c>
      <c r="H85" s="45">
        <v>4.0</v>
      </c>
      <c r="I85" s="45" t="s">
        <v>107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4"/>
      <c r="X85" s="64"/>
      <c r="Y85" s="64"/>
      <c r="Z85" s="64"/>
      <c r="AA85" s="64"/>
      <c r="AB85" s="64"/>
      <c r="AC85" s="64"/>
      <c r="AD85" s="64"/>
      <c r="AE85" s="80" t="s">
        <v>159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126">
        <v>45973.0</v>
      </c>
      <c r="C86" s="12" t="s">
        <v>54</v>
      </c>
      <c r="D86" s="39" t="s">
        <v>22</v>
      </c>
      <c r="E86" s="45" t="s">
        <v>67</v>
      </c>
      <c r="F86" s="45">
        <v>8.0</v>
      </c>
      <c r="G86" s="93" t="s">
        <v>24</v>
      </c>
      <c r="H86" s="45">
        <v>5.0</v>
      </c>
      <c r="I86" s="45" t="s">
        <v>104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4"/>
      <c r="X86" s="64"/>
      <c r="Y86" s="64"/>
      <c r="Z86" s="64"/>
      <c r="AA86" s="64"/>
      <c r="AB86" s="64"/>
      <c r="AC86" s="64"/>
      <c r="AD86" s="64"/>
      <c r="AJ86" s="18"/>
      <c r="AK86" s="18"/>
      <c r="AL86" s="18"/>
      <c r="AM86" s="18"/>
      <c r="AN86" s="4"/>
    </row>
    <row r="87" ht="15.75" customHeight="1">
      <c r="A87" s="25"/>
      <c r="B87" s="126">
        <v>45974.0</v>
      </c>
      <c r="C87" s="39" t="s">
        <v>49</v>
      </c>
      <c r="D87" s="39" t="s">
        <v>22</v>
      </c>
      <c r="E87" s="45" t="s">
        <v>63</v>
      </c>
      <c r="F87" s="45">
        <v>3.0</v>
      </c>
      <c r="G87" s="93" t="s">
        <v>24</v>
      </c>
      <c r="H87" s="45">
        <v>2.0</v>
      </c>
      <c r="I87" s="45" t="s">
        <v>43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D87" s="64"/>
      <c r="AJ87" s="4"/>
      <c r="AK87" s="4"/>
      <c r="AL87" s="4"/>
      <c r="AM87" s="4"/>
      <c r="AN87" s="4"/>
    </row>
    <row r="88" ht="15.75" customHeight="1">
      <c r="A88" s="25"/>
      <c r="B88" s="126">
        <v>45973.0</v>
      </c>
      <c r="C88" s="39" t="s">
        <v>149</v>
      </c>
      <c r="D88" s="39" t="s">
        <v>22</v>
      </c>
      <c r="E88" s="45" t="s">
        <v>59</v>
      </c>
      <c r="F88" s="45">
        <v>5.0</v>
      </c>
      <c r="G88" s="93" t="s">
        <v>24</v>
      </c>
      <c r="H88" s="45">
        <v>6.0</v>
      </c>
      <c r="I88" s="45" t="s">
        <v>68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D88" s="64"/>
      <c r="AE88" s="82" t="s">
        <v>98</v>
      </c>
      <c r="AF88" s="83"/>
      <c r="AG88" s="83"/>
      <c r="AH88" s="83"/>
      <c r="AI88" s="83"/>
      <c r="AJ88" s="83"/>
      <c r="AK88" s="83"/>
      <c r="AL88" s="83"/>
      <c r="AM88" s="84"/>
      <c r="AN88" s="4"/>
    </row>
    <row r="89" ht="15.75" customHeight="1">
      <c r="A89" s="25"/>
      <c r="B89" s="125"/>
      <c r="C89" s="93"/>
      <c r="D89" s="93"/>
      <c r="E89" s="45">
        <v>0.0</v>
      </c>
      <c r="F89" s="68"/>
      <c r="G89" s="93" t="s">
        <v>24</v>
      </c>
      <c r="H89" s="68"/>
      <c r="I89" s="45" t="s">
        <v>157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D89" s="64"/>
      <c r="AE89" s="85"/>
      <c r="AF89" s="86"/>
      <c r="AG89" s="86"/>
      <c r="AH89" s="86"/>
      <c r="AI89" s="86"/>
      <c r="AJ89" s="86"/>
      <c r="AK89" s="86"/>
      <c r="AL89" s="86"/>
      <c r="AM89" s="87"/>
      <c r="AN89" s="4"/>
    </row>
    <row r="90" ht="15.75" customHeight="1">
      <c r="A90" s="10">
        <v>4.0</v>
      </c>
      <c r="B90" s="11">
        <v>45992.0</v>
      </c>
      <c r="C90" s="12" t="s">
        <v>30</v>
      </c>
      <c r="D90" s="39" t="s">
        <v>22</v>
      </c>
      <c r="E90" s="45" t="s">
        <v>107</v>
      </c>
      <c r="F90" s="45">
        <v>0.0</v>
      </c>
      <c r="G90" s="93" t="s">
        <v>24</v>
      </c>
      <c r="H90" s="45">
        <v>10.0</v>
      </c>
      <c r="I90" s="45" t="s">
        <v>63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D90" s="64"/>
      <c r="AE90" s="5" t="s">
        <v>11</v>
      </c>
      <c r="AF90" s="5" t="s">
        <v>12</v>
      </c>
      <c r="AG90" s="5" t="s">
        <v>13</v>
      </c>
      <c r="AH90" s="5" t="s">
        <v>14</v>
      </c>
      <c r="AI90" s="5" t="s">
        <v>15</v>
      </c>
      <c r="AJ90" s="5" t="s">
        <v>16</v>
      </c>
      <c r="AK90" s="5" t="s">
        <v>17</v>
      </c>
      <c r="AL90" s="5" t="s">
        <v>18</v>
      </c>
      <c r="AM90" s="5" t="s">
        <v>19</v>
      </c>
      <c r="AN90" s="37"/>
    </row>
    <row r="91" ht="15.75" customHeight="1">
      <c r="A91" s="25"/>
      <c r="B91" s="11">
        <v>45992.0</v>
      </c>
      <c r="C91" s="12" t="s">
        <v>35</v>
      </c>
      <c r="D91" s="39" t="s">
        <v>22</v>
      </c>
      <c r="E91" s="45" t="s">
        <v>104</v>
      </c>
      <c r="F91" s="45">
        <v>2.0</v>
      </c>
      <c r="G91" s="93" t="s">
        <v>24</v>
      </c>
      <c r="H91" s="45">
        <v>8.0</v>
      </c>
      <c r="I91" s="45" t="s">
        <v>32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D91" s="64"/>
      <c r="AE91" s="46" t="s">
        <v>29</v>
      </c>
      <c r="AF91" s="23" t="s">
        <v>32</v>
      </c>
      <c r="AG91" s="23">
        <v>18.0</v>
      </c>
      <c r="AH91" s="23">
        <v>6.0</v>
      </c>
      <c r="AI91" s="23">
        <v>0.0</v>
      </c>
      <c r="AJ91" s="23">
        <v>2.0</v>
      </c>
      <c r="AK91" s="62">
        <v>46.0</v>
      </c>
      <c r="AL91" s="62">
        <v>19.0</v>
      </c>
      <c r="AM91" s="62">
        <v>27.0</v>
      </c>
      <c r="AN91" s="4"/>
    </row>
    <row r="92" ht="15.75" customHeight="1">
      <c r="A92" s="25"/>
      <c r="B92" s="128"/>
      <c r="C92" s="99"/>
      <c r="D92" s="93"/>
      <c r="E92" s="45" t="s">
        <v>67</v>
      </c>
      <c r="F92" s="68"/>
      <c r="G92" s="93" t="s">
        <v>24</v>
      </c>
      <c r="H92" s="68"/>
      <c r="I92" s="45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D92" s="64"/>
      <c r="AE92" s="124" t="s">
        <v>106</v>
      </c>
      <c r="AF92" s="23" t="s">
        <v>43</v>
      </c>
      <c r="AG92" s="23">
        <v>18.0</v>
      </c>
      <c r="AH92" s="23">
        <v>6.0</v>
      </c>
      <c r="AI92" s="23">
        <v>0.0</v>
      </c>
      <c r="AJ92" s="23">
        <v>2.0</v>
      </c>
      <c r="AK92" s="23">
        <v>44.0</v>
      </c>
      <c r="AL92" s="23">
        <v>12.0</v>
      </c>
      <c r="AM92" s="23">
        <v>32.0</v>
      </c>
      <c r="AN92" s="4"/>
    </row>
    <row r="93" ht="15.75" customHeight="1">
      <c r="A93" s="25"/>
      <c r="B93" s="11">
        <v>45992.0</v>
      </c>
      <c r="C93" s="12" t="s">
        <v>49</v>
      </c>
      <c r="D93" s="39" t="s">
        <v>22</v>
      </c>
      <c r="E93" s="45" t="s">
        <v>43</v>
      </c>
      <c r="F93" s="45">
        <v>7.0</v>
      </c>
      <c r="G93" s="93" t="s">
        <v>24</v>
      </c>
      <c r="H93" s="45">
        <v>2.0</v>
      </c>
      <c r="I93" s="45" t="s">
        <v>59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D93" s="64"/>
      <c r="AE93" s="22">
        <v>3.0</v>
      </c>
      <c r="AF93" s="23" t="s">
        <v>104</v>
      </c>
      <c r="AG93" s="23">
        <v>15.0</v>
      </c>
      <c r="AH93" s="23">
        <v>5.0</v>
      </c>
      <c r="AI93" s="23">
        <v>0.0</v>
      </c>
      <c r="AJ93" s="23">
        <v>3.0</v>
      </c>
      <c r="AK93" s="23">
        <v>23.0</v>
      </c>
      <c r="AL93" s="23">
        <v>21.0</v>
      </c>
      <c r="AM93" s="23">
        <v>2.0</v>
      </c>
      <c r="AN93" s="4"/>
    </row>
    <row r="94" ht="15.75" customHeight="1">
      <c r="A94" s="25"/>
      <c r="B94" s="11">
        <v>45992.0</v>
      </c>
      <c r="C94" s="39" t="s">
        <v>21</v>
      </c>
      <c r="D94" s="39" t="s">
        <v>22</v>
      </c>
      <c r="E94" s="45" t="s">
        <v>68</v>
      </c>
      <c r="F94" s="45">
        <v>2.0</v>
      </c>
      <c r="G94" s="93" t="s">
        <v>24</v>
      </c>
      <c r="H94" s="45">
        <v>0.0</v>
      </c>
      <c r="I94" s="45" t="s">
        <v>157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64"/>
      <c r="AE94" s="22">
        <v>4.0</v>
      </c>
      <c r="AF94" s="23" t="s">
        <v>63</v>
      </c>
      <c r="AG94" s="23">
        <v>15.0</v>
      </c>
      <c r="AH94" s="23">
        <v>5.0</v>
      </c>
      <c r="AI94" s="23">
        <v>0.0</v>
      </c>
      <c r="AJ94" s="23">
        <v>3.0</v>
      </c>
      <c r="AK94" s="23">
        <v>41.0</v>
      </c>
      <c r="AL94" s="23">
        <v>23.0</v>
      </c>
      <c r="AM94" s="23">
        <v>18.0</v>
      </c>
      <c r="AN94" s="4"/>
    </row>
    <row r="95" ht="15.75" customHeight="1">
      <c r="A95" s="10">
        <v>5.0</v>
      </c>
      <c r="B95" s="11">
        <v>46063.0</v>
      </c>
      <c r="C95" s="12" t="s">
        <v>55</v>
      </c>
      <c r="D95" s="39" t="s">
        <v>78</v>
      </c>
      <c r="E95" s="45" t="s">
        <v>59</v>
      </c>
      <c r="F95" s="45">
        <v>2.0</v>
      </c>
      <c r="G95" s="93" t="s">
        <v>24</v>
      </c>
      <c r="H95" s="45">
        <v>3.0</v>
      </c>
      <c r="I95" s="45" t="s">
        <v>107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64"/>
      <c r="AE95" s="22">
        <v>5.0</v>
      </c>
      <c r="AF95" s="23" t="s">
        <v>67</v>
      </c>
      <c r="AG95" s="23">
        <v>13.0</v>
      </c>
      <c r="AH95" s="23">
        <v>4.0</v>
      </c>
      <c r="AI95" s="23">
        <v>1.0</v>
      </c>
      <c r="AJ95" s="23">
        <v>3.0</v>
      </c>
      <c r="AK95" s="23">
        <v>32.0</v>
      </c>
      <c r="AL95" s="23">
        <v>26.0</v>
      </c>
      <c r="AM95" s="23">
        <v>6.0</v>
      </c>
      <c r="AN95" s="4"/>
    </row>
    <row r="96" ht="15.75" customHeight="1">
      <c r="A96" s="25"/>
      <c r="B96" s="11">
        <v>46063.0</v>
      </c>
      <c r="C96" s="12" t="s">
        <v>52</v>
      </c>
      <c r="D96" s="39" t="s">
        <v>78</v>
      </c>
      <c r="E96" s="45" t="s">
        <v>63</v>
      </c>
      <c r="F96" s="45">
        <v>0.0</v>
      </c>
      <c r="G96" s="93" t="s">
        <v>24</v>
      </c>
      <c r="H96" s="45">
        <v>1.0</v>
      </c>
      <c r="I96" s="45" t="s">
        <v>104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22">
        <v>6.0</v>
      </c>
      <c r="AF96" s="23" t="s">
        <v>68</v>
      </c>
      <c r="AG96" s="23">
        <v>9.0</v>
      </c>
      <c r="AH96" s="23">
        <v>3.0</v>
      </c>
      <c r="AI96" s="23">
        <v>0.0</v>
      </c>
      <c r="AJ96" s="23">
        <v>5.0</v>
      </c>
      <c r="AK96" s="23">
        <v>17.0</v>
      </c>
      <c r="AL96" s="23">
        <v>36.0</v>
      </c>
      <c r="AM96" s="23">
        <v>-19.0</v>
      </c>
      <c r="AN96" s="4"/>
    </row>
    <row r="97" ht="15.75" customHeight="1">
      <c r="A97" s="25"/>
      <c r="B97" s="11">
        <v>46063.0</v>
      </c>
      <c r="C97" s="12" t="s">
        <v>53</v>
      </c>
      <c r="D97" s="39" t="s">
        <v>78</v>
      </c>
      <c r="E97" s="45" t="s">
        <v>32</v>
      </c>
      <c r="F97" s="45">
        <v>4.0</v>
      </c>
      <c r="G97" s="93" t="s">
        <v>24</v>
      </c>
      <c r="H97" s="45">
        <v>1.0</v>
      </c>
      <c r="I97" s="45" t="s">
        <v>67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22">
        <v>7.0</v>
      </c>
      <c r="AF97" s="23" t="s">
        <v>59</v>
      </c>
      <c r="AG97" s="23">
        <v>7.0</v>
      </c>
      <c r="AH97" s="23">
        <v>2.0</v>
      </c>
      <c r="AI97" s="23">
        <v>1.0</v>
      </c>
      <c r="AJ97" s="23">
        <v>5.0</v>
      </c>
      <c r="AK97" s="23">
        <v>27.0</v>
      </c>
      <c r="AL97" s="23">
        <v>36.0</v>
      </c>
      <c r="AM97" s="23">
        <v>-9.0</v>
      </c>
      <c r="AN97" s="4"/>
    </row>
    <row r="98" ht="15.75" customHeight="1">
      <c r="A98" s="25"/>
      <c r="B98" s="11">
        <v>46076.0</v>
      </c>
      <c r="C98" s="12" t="s">
        <v>55</v>
      </c>
      <c r="D98" s="39" t="s">
        <v>78</v>
      </c>
      <c r="E98" s="45" t="s">
        <v>157</v>
      </c>
      <c r="F98" s="45">
        <v>0.0</v>
      </c>
      <c r="G98" s="93" t="s">
        <v>24</v>
      </c>
      <c r="H98" s="45">
        <v>15.0</v>
      </c>
      <c r="I98" s="45" t="s">
        <v>43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22">
        <v>8.0</v>
      </c>
      <c r="AF98" s="23" t="s">
        <v>157</v>
      </c>
      <c r="AG98" s="23">
        <v>7.0</v>
      </c>
      <c r="AH98" s="23">
        <v>2.0</v>
      </c>
      <c r="AI98" s="23">
        <v>1.0</v>
      </c>
      <c r="AJ98" s="23">
        <v>5.0</v>
      </c>
      <c r="AK98" s="23">
        <v>12.0</v>
      </c>
      <c r="AL98" s="23">
        <v>47.0</v>
      </c>
      <c r="AM98" s="23">
        <v>-35.0</v>
      </c>
      <c r="AN98" s="4"/>
    </row>
    <row r="99" ht="15.75" customHeight="1">
      <c r="A99" s="25"/>
      <c r="B99" s="125"/>
      <c r="C99" s="93"/>
      <c r="D99" s="93"/>
      <c r="E99" s="45">
        <v>0.0</v>
      </c>
      <c r="F99" s="68"/>
      <c r="G99" s="93" t="s">
        <v>24</v>
      </c>
      <c r="H99" s="68"/>
      <c r="I99" s="45" t="s">
        <v>68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22">
        <v>9.0</v>
      </c>
      <c r="AF99" s="23" t="s">
        <v>107</v>
      </c>
      <c r="AG99" s="23">
        <v>4.0</v>
      </c>
      <c r="AH99" s="23">
        <v>1.0</v>
      </c>
      <c r="AI99" s="23">
        <v>1.0</v>
      </c>
      <c r="AJ99" s="23">
        <v>6.0</v>
      </c>
      <c r="AK99" s="23">
        <v>13.0</v>
      </c>
      <c r="AL99" s="49">
        <v>35.0</v>
      </c>
      <c r="AM99" s="49">
        <v>-22.0</v>
      </c>
      <c r="AN99" s="4"/>
    </row>
    <row r="100" ht="15.75" customHeight="1">
      <c r="A100" s="10">
        <v>6.0</v>
      </c>
      <c r="B100" s="11">
        <v>46083.0</v>
      </c>
      <c r="C100" s="12" t="s">
        <v>52</v>
      </c>
      <c r="D100" s="39" t="s">
        <v>78</v>
      </c>
      <c r="E100" s="45" t="s">
        <v>107</v>
      </c>
      <c r="F100" s="45">
        <v>1.0</v>
      </c>
      <c r="G100" s="93" t="s">
        <v>24</v>
      </c>
      <c r="H100" s="45">
        <v>2.0</v>
      </c>
      <c r="I100" s="45" t="s">
        <v>157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35" t="s">
        <v>160</v>
      </c>
      <c r="AH100" s="32"/>
      <c r="AI100" s="32"/>
      <c r="AJ100" s="32"/>
      <c r="AK100" s="32"/>
      <c r="AL100" s="127"/>
      <c r="AM100" s="127"/>
      <c r="AN100" s="4"/>
    </row>
    <row r="101" ht="15.75" customHeight="1">
      <c r="A101" s="25"/>
      <c r="B101" s="11">
        <v>46076.0</v>
      </c>
      <c r="C101" s="12" t="s">
        <v>52</v>
      </c>
      <c r="D101" s="39" t="s">
        <v>78</v>
      </c>
      <c r="E101" s="45" t="s">
        <v>104</v>
      </c>
      <c r="F101" s="45">
        <v>5.0</v>
      </c>
      <c r="G101" s="93" t="s">
        <v>24</v>
      </c>
      <c r="H101" s="45">
        <v>1.0</v>
      </c>
      <c r="I101" s="45" t="s">
        <v>59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80" t="s">
        <v>159</v>
      </c>
      <c r="AH101" s="18"/>
      <c r="AI101" s="18"/>
      <c r="AJ101" s="18"/>
      <c r="AK101" s="18"/>
      <c r="AL101" s="18"/>
      <c r="AM101" s="18"/>
      <c r="AN101" s="4"/>
    </row>
    <row r="102" ht="15.75" customHeight="1">
      <c r="A102" s="25"/>
      <c r="B102" s="11">
        <v>46076.0</v>
      </c>
      <c r="C102" s="12" t="s">
        <v>53</v>
      </c>
      <c r="D102" s="39" t="s">
        <v>78</v>
      </c>
      <c r="E102" s="45" t="s">
        <v>67</v>
      </c>
      <c r="F102" s="45">
        <v>2.0</v>
      </c>
      <c r="G102" s="93" t="s">
        <v>24</v>
      </c>
      <c r="H102" s="45">
        <v>0.0</v>
      </c>
      <c r="I102" s="45" t="s">
        <v>63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8"/>
      <c r="C103" s="95"/>
      <c r="D103" s="95"/>
      <c r="E103" s="45" t="s">
        <v>32</v>
      </c>
      <c r="F103" s="68"/>
      <c r="G103" s="93" t="s">
        <v>24</v>
      </c>
      <c r="H103" s="68"/>
      <c r="I103" s="45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53</v>
      </c>
      <c r="D104" s="39" t="s">
        <v>78</v>
      </c>
      <c r="E104" s="45" t="s">
        <v>43</v>
      </c>
      <c r="F104" s="45">
        <v>4.0</v>
      </c>
      <c r="G104" s="93" t="s">
        <v>24</v>
      </c>
      <c r="H104" s="45">
        <v>1.0</v>
      </c>
      <c r="I104" s="45" t="s">
        <v>68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126">
        <v>46098.0</v>
      </c>
      <c r="C105" s="12" t="s">
        <v>55</v>
      </c>
      <c r="D105" s="39" t="s">
        <v>78</v>
      </c>
      <c r="E105" s="45" t="s">
        <v>68</v>
      </c>
      <c r="F105" s="45">
        <v>3.0</v>
      </c>
      <c r="G105" s="93" t="s">
        <v>24</v>
      </c>
      <c r="H105" s="45">
        <v>0.0</v>
      </c>
      <c r="I105" s="14" t="s">
        <v>107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126">
        <v>46098.0</v>
      </c>
      <c r="C106" s="39" t="s">
        <v>53</v>
      </c>
      <c r="D106" s="39" t="s">
        <v>78</v>
      </c>
      <c r="E106" s="14" t="s">
        <v>157</v>
      </c>
      <c r="F106" s="45">
        <v>0.0</v>
      </c>
      <c r="G106" s="93" t="s">
        <v>24</v>
      </c>
      <c r="H106" s="45">
        <v>3.0</v>
      </c>
      <c r="I106" s="45" t="s">
        <v>104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4"/>
      <c r="AG106" s="64"/>
      <c r="AH106" s="37"/>
      <c r="AJ106" s="4"/>
      <c r="AK106" s="4"/>
      <c r="AL106" s="4"/>
      <c r="AM106" s="4"/>
      <c r="AN106" s="4"/>
    </row>
    <row r="107" ht="15.75" customHeight="1">
      <c r="A107" s="25"/>
      <c r="B107" s="126">
        <v>46097.0</v>
      </c>
      <c r="C107" s="12" t="s">
        <v>53</v>
      </c>
      <c r="D107" s="39" t="s">
        <v>78</v>
      </c>
      <c r="E107" s="45" t="s">
        <v>59</v>
      </c>
      <c r="F107" s="45">
        <v>8.0</v>
      </c>
      <c r="G107" s="93" t="s">
        <v>24</v>
      </c>
      <c r="H107" s="45">
        <v>5.0</v>
      </c>
      <c r="I107" s="45" t="s">
        <v>67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G107" s="64"/>
      <c r="AJ107" s="4"/>
      <c r="AK107" s="4"/>
      <c r="AL107" s="4"/>
      <c r="AM107" s="4"/>
      <c r="AN107" s="4"/>
    </row>
    <row r="108" ht="15.75" customHeight="1">
      <c r="A108" s="25"/>
      <c r="B108" s="126">
        <v>46098.0</v>
      </c>
      <c r="C108" s="12" t="s">
        <v>52</v>
      </c>
      <c r="D108" s="39" t="s">
        <v>78</v>
      </c>
      <c r="E108" s="45" t="s">
        <v>63</v>
      </c>
      <c r="F108" s="45">
        <v>2.0</v>
      </c>
      <c r="G108" s="93" t="s">
        <v>24</v>
      </c>
      <c r="H108" s="45">
        <v>8.0</v>
      </c>
      <c r="I108" s="45" t="s">
        <v>32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G108" s="64"/>
      <c r="AJ108" s="4"/>
      <c r="AK108" s="4"/>
      <c r="AL108" s="4"/>
      <c r="AM108" s="4"/>
      <c r="AN108" s="4"/>
    </row>
    <row r="109" ht="15.75" customHeight="1">
      <c r="A109" s="25"/>
      <c r="B109" s="125"/>
      <c r="C109" s="93"/>
      <c r="D109" s="93"/>
      <c r="E109" s="45">
        <v>0.0</v>
      </c>
      <c r="F109" s="68"/>
      <c r="G109" s="93" t="s">
        <v>24</v>
      </c>
      <c r="H109" s="68"/>
      <c r="I109" s="45" t="s">
        <v>43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G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51</v>
      </c>
      <c r="D110" s="39" t="s">
        <v>78</v>
      </c>
      <c r="E110" s="45" t="s">
        <v>107</v>
      </c>
      <c r="F110" s="45">
        <v>1.0</v>
      </c>
      <c r="G110" s="93" t="s">
        <v>24</v>
      </c>
      <c r="H110" s="45">
        <v>7.0</v>
      </c>
      <c r="I110" s="45" t="s">
        <v>43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4"/>
      <c r="X110" s="64"/>
      <c r="Y110" s="64"/>
      <c r="Z110" s="64"/>
      <c r="AA110" s="64"/>
      <c r="AB110" s="64"/>
      <c r="AC110" s="64"/>
      <c r="AD110" s="64"/>
      <c r="AG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55</v>
      </c>
      <c r="D111" s="39" t="s">
        <v>78</v>
      </c>
      <c r="E111" s="45" t="s">
        <v>104</v>
      </c>
      <c r="F111" s="45">
        <v>3.0</v>
      </c>
      <c r="G111" s="93" t="s">
        <v>24</v>
      </c>
      <c r="H111" s="45">
        <v>0.0</v>
      </c>
      <c r="I111" s="45" t="s">
        <v>68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52</v>
      </c>
      <c r="D112" s="39" t="s">
        <v>78</v>
      </c>
      <c r="E112" s="45" t="s">
        <v>67</v>
      </c>
      <c r="F112" s="45">
        <v>10.0</v>
      </c>
      <c r="G112" s="93" t="s">
        <v>24</v>
      </c>
      <c r="H112" s="45">
        <v>2.0</v>
      </c>
      <c r="I112" s="45" t="s">
        <v>157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4"/>
      <c r="X112" s="64"/>
      <c r="Y112" s="64"/>
      <c r="Z112" s="64"/>
      <c r="AA112" s="64"/>
      <c r="AB112" s="64"/>
      <c r="AC112" s="64"/>
      <c r="AD112" s="64"/>
      <c r="AE112" s="4"/>
      <c r="AF112" s="4"/>
      <c r="AG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53</v>
      </c>
      <c r="D113" s="39" t="s">
        <v>78</v>
      </c>
      <c r="E113" s="45" t="s">
        <v>32</v>
      </c>
      <c r="F113" s="45">
        <v>3.0</v>
      </c>
      <c r="G113" s="93" t="s">
        <v>24</v>
      </c>
      <c r="H113" s="45">
        <v>4.0</v>
      </c>
      <c r="I113" s="45" t="s">
        <v>59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4"/>
      <c r="X113" s="64"/>
      <c r="Y113" s="64"/>
      <c r="Z113" s="64"/>
      <c r="AA113" s="64"/>
      <c r="AB113" s="64"/>
      <c r="AC113" s="64"/>
      <c r="AD113" s="6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25"/>
      <c r="C114" s="93"/>
      <c r="D114" s="93"/>
      <c r="E114" s="45" t="s">
        <v>63</v>
      </c>
      <c r="F114" s="68"/>
      <c r="G114" s="93" t="s">
        <v>24</v>
      </c>
      <c r="H114" s="68"/>
      <c r="I114" s="45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4"/>
      <c r="X114" s="64"/>
      <c r="Y114" s="64"/>
      <c r="Z114" s="64"/>
      <c r="AA114" s="64"/>
      <c r="AB114" s="64"/>
      <c r="AC114" s="64"/>
      <c r="AD114" s="6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25"/>
      <c r="C115" s="93"/>
      <c r="D115" s="93"/>
      <c r="E115" s="45">
        <v>0.0</v>
      </c>
      <c r="F115" s="68"/>
      <c r="G115" s="93" t="s">
        <v>24</v>
      </c>
      <c r="H115" s="68"/>
      <c r="I115" s="45" t="s">
        <v>107</v>
      </c>
      <c r="J115" s="64"/>
      <c r="K115" s="4" t="str">
        <f t="shared" si="11"/>
        <v/>
      </c>
      <c r="L115" s="18" t="str">
        <f t="shared" si="12"/>
        <v/>
      </c>
      <c r="M115" s="64"/>
      <c r="N115" s="64"/>
      <c r="O115" s="64"/>
      <c r="P115" s="64"/>
      <c r="Q115" s="64"/>
      <c r="R115" s="4"/>
      <c r="S115" s="4"/>
      <c r="T115" s="4"/>
      <c r="U115" s="4"/>
      <c r="V115" s="4"/>
      <c r="W115" s="64"/>
      <c r="X115" s="64"/>
      <c r="Y115" s="64"/>
      <c r="Z115" s="64"/>
      <c r="AA115" s="64"/>
      <c r="AB115" s="64"/>
      <c r="AC115" s="64"/>
      <c r="AD115" s="64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55</v>
      </c>
      <c r="D116" s="39" t="s">
        <v>78</v>
      </c>
      <c r="E116" s="45" t="s">
        <v>43</v>
      </c>
      <c r="F116" s="45">
        <v>3.0</v>
      </c>
      <c r="G116" s="93" t="s">
        <v>24</v>
      </c>
      <c r="H116" s="45">
        <v>1.0</v>
      </c>
      <c r="I116" s="45" t="s">
        <v>104</v>
      </c>
      <c r="J116" s="64"/>
      <c r="K116" s="4">
        <f t="shared" si="11"/>
        <v>3</v>
      </c>
      <c r="L116" s="18">
        <f t="shared" si="12"/>
        <v>0</v>
      </c>
      <c r="M116" s="64"/>
      <c r="N116" s="64"/>
      <c r="O116" s="64"/>
      <c r="P116" s="64"/>
      <c r="Q116" s="64"/>
      <c r="R116" s="4"/>
      <c r="S116" s="4"/>
      <c r="T116" s="4"/>
      <c r="U116" s="4"/>
      <c r="V116" s="4"/>
      <c r="W116" s="64"/>
      <c r="X116" s="64"/>
      <c r="Y116" s="64"/>
      <c r="Z116" s="64"/>
      <c r="AA116" s="64"/>
      <c r="AB116" s="64"/>
      <c r="AC116" s="64"/>
      <c r="AD116" s="64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75</v>
      </c>
      <c r="D117" s="39" t="s">
        <v>78</v>
      </c>
      <c r="E117" s="14" t="s">
        <v>68</v>
      </c>
      <c r="F117" s="45">
        <v>0.0</v>
      </c>
      <c r="G117" s="93" t="s">
        <v>24</v>
      </c>
      <c r="H117" s="45">
        <v>3.0</v>
      </c>
      <c r="I117" s="45" t="s">
        <v>67</v>
      </c>
      <c r="J117" s="64"/>
      <c r="K117" s="4">
        <f t="shared" si="11"/>
        <v>0</v>
      </c>
      <c r="L117" s="18">
        <f t="shared" si="12"/>
        <v>3</v>
      </c>
      <c r="M117" s="64"/>
      <c r="N117" s="64"/>
      <c r="O117" s="64"/>
      <c r="P117" s="64"/>
      <c r="Q117" s="64"/>
      <c r="R117" s="4"/>
      <c r="S117" s="4"/>
      <c r="T117" s="4"/>
      <c r="U117" s="4"/>
      <c r="V117" s="4"/>
      <c r="W117" s="64"/>
      <c r="X117" s="64"/>
      <c r="Y117" s="64"/>
      <c r="Z117" s="64"/>
      <c r="AA117" s="64"/>
      <c r="AB117" s="64"/>
      <c r="AC117" s="64"/>
      <c r="AD117" s="64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52</v>
      </c>
      <c r="D118" s="39" t="s">
        <v>78</v>
      </c>
      <c r="E118" s="45" t="s">
        <v>157</v>
      </c>
      <c r="F118" s="45">
        <v>3.0</v>
      </c>
      <c r="G118" s="93" t="s">
        <v>24</v>
      </c>
      <c r="H118" s="45">
        <v>2.0</v>
      </c>
      <c r="I118" s="17" t="s">
        <v>32</v>
      </c>
      <c r="J118" s="64"/>
      <c r="K118" s="4">
        <f t="shared" si="11"/>
        <v>3</v>
      </c>
      <c r="L118" s="18">
        <f t="shared" si="12"/>
        <v>0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37"/>
    </row>
    <row r="119" ht="15.75" customHeight="1">
      <c r="A119" s="29"/>
      <c r="B119" s="11">
        <v>46147.0</v>
      </c>
      <c r="C119" s="12" t="s">
        <v>53</v>
      </c>
      <c r="D119" s="39" t="s">
        <v>78</v>
      </c>
      <c r="E119" s="45" t="s">
        <v>59</v>
      </c>
      <c r="F119" s="45">
        <v>3.0</v>
      </c>
      <c r="G119" s="93" t="s">
        <v>24</v>
      </c>
      <c r="H119" s="45">
        <v>5.0</v>
      </c>
      <c r="I119" s="45" t="s">
        <v>63</v>
      </c>
      <c r="J119" s="64"/>
      <c r="K119" s="4">
        <f t="shared" si="11"/>
        <v>0</v>
      </c>
      <c r="L119" s="18">
        <f t="shared" si="12"/>
        <v>3</v>
      </c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37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4"/>
    </row>
    <row r="123" ht="15.75" customHeight="1">
      <c r="A123" s="64"/>
      <c r="B123" s="64"/>
      <c r="C123" s="64"/>
      <c r="D123" s="64"/>
      <c r="E123" s="37"/>
      <c r="F123" s="64"/>
      <c r="G123" s="64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4"/>
      <c r="S123" s="4"/>
      <c r="T123" s="4"/>
      <c r="U123" s="4"/>
      <c r="V123" s="4"/>
      <c r="W123" s="64"/>
      <c r="X123" s="64"/>
      <c r="Y123" s="64"/>
      <c r="Z123" s="64"/>
      <c r="AA123" s="64"/>
      <c r="AB123" s="64"/>
      <c r="AC123" s="64"/>
      <c r="AD123" s="64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19" t="s">
        <v>161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4"/>
      <c r="S124" s="4"/>
      <c r="T124" s="4"/>
      <c r="U124" s="4"/>
      <c r="V124" s="4"/>
      <c r="W124" s="64"/>
      <c r="X124" s="64"/>
      <c r="Y124" s="64"/>
      <c r="Z124" s="64"/>
      <c r="AA124" s="64"/>
      <c r="AB124" s="64"/>
      <c r="AC124" s="64"/>
      <c r="AD124" s="64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64"/>
      <c r="X125" s="64"/>
      <c r="Y125" s="64"/>
      <c r="Z125" s="64"/>
      <c r="AA125" s="64"/>
      <c r="AB125" s="64"/>
      <c r="AC125" s="64"/>
      <c r="AD125" s="64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126">
        <v>45945.0</v>
      </c>
      <c r="C126" s="12" t="s">
        <v>55</v>
      </c>
      <c r="D126" s="12" t="s">
        <v>78</v>
      </c>
      <c r="E126" s="45" t="s">
        <v>65</v>
      </c>
      <c r="F126" s="45">
        <v>5.0</v>
      </c>
      <c r="G126" s="93" t="s">
        <v>24</v>
      </c>
      <c r="H126" s="45">
        <v>0.0</v>
      </c>
      <c r="I126" s="45" t="s">
        <v>162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107" t="s">
        <v>162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4"/>
      <c r="X126" s="64"/>
      <c r="Y126" s="64"/>
      <c r="Z126" s="64"/>
      <c r="AA126" s="64"/>
      <c r="AB126" s="64"/>
      <c r="AC126" s="64"/>
      <c r="AD126" s="64"/>
      <c r="AE126" s="46" t="s">
        <v>29</v>
      </c>
      <c r="AF126" s="23" t="str">
        <f t="array" ref="AF126:AN134">SORT(O126:W135,2,FALSE,9,FALSE,8,FALSE())</f>
        <v>EGI B</v>
      </c>
      <c r="AG126" s="23">
        <v>24.0</v>
      </c>
      <c r="AH126" s="23">
        <v>8.0</v>
      </c>
      <c r="AI126" s="23">
        <v>0.0</v>
      </c>
      <c r="AJ126" s="23">
        <v>0.0</v>
      </c>
      <c r="AK126" s="23">
        <v>46.0</v>
      </c>
      <c r="AL126" s="23">
        <v>18.0</v>
      </c>
      <c r="AM126" s="23">
        <v>28.0</v>
      </c>
      <c r="AN126" s="18"/>
    </row>
    <row r="127" ht="15.75" customHeight="1">
      <c r="A127" s="25"/>
      <c r="B127" s="126">
        <v>45952.0</v>
      </c>
      <c r="C127" s="12" t="s">
        <v>74</v>
      </c>
      <c r="D127" s="12" t="s">
        <v>78</v>
      </c>
      <c r="E127" s="45" t="s">
        <v>108</v>
      </c>
      <c r="F127" s="45">
        <v>3.0</v>
      </c>
      <c r="G127" s="93" t="s">
        <v>24</v>
      </c>
      <c r="H127" s="45">
        <v>6.0</v>
      </c>
      <c r="I127" s="45" t="s">
        <v>122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107" t="s">
        <v>65</v>
      </c>
      <c r="P127" s="18">
        <f t="shared" si="22"/>
        <v>15</v>
      </c>
      <c r="Q127" s="18">
        <f t="shared" si="23"/>
        <v>5</v>
      </c>
      <c r="R127" s="20">
        <f t="shared" si="24"/>
        <v>0</v>
      </c>
      <c r="S127" s="20">
        <f t="shared" si="25"/>
        <v>3</v>
      </c>
      <c r="T127" s="18">
        <f t="shared" si="26"/>
        <v>39</v>
      </c>
      <c r="U127" s="20">
        <f t="shared" si="27"/>
        <v>20</v>
      </c>
      <c r="V127" s="18">
        <f t="shared" si="28"/>
        <v>19</v>
      </c>
      <c r="W127" s="64"/>
      <c r="X127" s="64"/>
      <c r="Y127" s="64"/>
      <c r="Z127" s="64"/>
      <c r="AA127" s="64"/>
      <c r="AB127" s="64"/>
      <c r="AC127" s="64"/>
      <c r="AD127" s="64"/>
      <c r="AE127" s="124" t="s">
        <v>106</v>
      </c>
      <c r="AF127" s="23" t="s">
        <v>60</v>
      </c>
      <c r="AG127" s="23">
        <v>18.0</v>
      </c>
      <c r="AH127" s="23">
        <v>6.0</v>
      </c>
      <c r="AI127" s="23">
        <v>0.0</v>
      </c>
      <c r="AJ127" s="23">
        <v>2.0</v>
      </c>
      <c r="AK127" s="23">
        <v>55.0</v>
      </c>
      <c r="AL127" s="23">
        <v>16.0</v>
      </c>
      <c r="AM127" s="23">
        <v>39.0</v>
      </c>
      <c r="AN127" s="18"/>
    </row>
    <row r="128" ht="15.75" customHeight="1">
      <c r="A128" s="25"/>
      <c r="B128" s="126">
        <v>45945.0</v>
      </c>
      <c r="C128" s="39" t="s">
        <v>52</v>
      </c>
      <c r="D128" s="12" t="s">
        <v>78</v>
      </c>
      <c r="E128" s="45" t="s">
        <v>130</v>
      </c>
      <c r="F128" s="45">
        <v>1.0</v>
      </c>
      <c r="G128" s="93" t="s">
        <v>24</v>
      </c>
      <c r="H128" s="45">
        <v>2.0</v>
      </c>
      <c r="I128" s="45" t="s">
        <v>61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107" t="s">
        <v>108</v>
      </c>
      <c r="P128" s="18">
        <f t="shared" si="22"/>
        <v>12</v>
      </c>
      <c r="Q128" s="18">
        <f t="shared" si="23"/>
        <v>4</v>
      </c>
      <c r="R128" s="20">
        <f t="shared" si="24"/>
        <v>0</v>
      </c>
      <c r="S128" s="20">
        <f t="shared" si="25"/>
        <v>4</v>
      </c>
      <c r="T128" s="18">
        <f t="shared" si="26"/>
        <v>24</v>
      </c>
      <c r="U128" s="20">
        <f t="shared" si="27"/>
        <v>21</v>
      </c>
      <c r="V128" s="18">
        <f t="shared" si="28"/>
        <v>3</v>
      </c>
      <c r="W128" s="64"/>
      <c r="X128" s="64"/>
      <c r="Y128" s="64"/>
      <c r="Z128" s="64"/>
      <c r="AA128" s="64"/>
      <c r="AB128" s="64"/>
      <c r="AC128" s="64"/>
      <c r="AD128" s="64"/>
      <c r="AE128" s="22">
        <v>3.0</v>
      </c>
      <c r="AF128" s="23" t="s">
        <v>122</v>
      </c>
      <c r="AG128" s="23">
        <v>18.0</v>
      </c>
      <c r="AH128" s="23">
        <v>6.0</v>
      </c>
      <c r="AI128" s="23">
        <v>0.0</v>
      </c>
      <c r="AJ128" s="23">
        <v>2.0</v>
      </c>
      <c r="AK128" s="23">
        <v>42.0</v>
      </c>
      <c r="AL128" s="23">
        <v>18.0</v>
      </c>
      <c r="AM128" s="23">
        <v>24.0</v>
      </c>
      <c r="AN128" s="18"/>
    </row>
    <row r="129" ht="15.75" customHeight="1">
      <c r="A129" s="25"/>
      <c r="B129" s="126">
        <v>45945.0</v>
      </c>
      <c r="C129" s="12" t="s">
        <v>53</v>
      </c>
      <c r="D129" s="12" t="s">
        <v>78</v>
      </c>
      <c r="E129" s="45" t="s">
        <v>60</v>
      </c>
      <c r="F129" s="45">
        <v>3.0</v>
      </c>
      <c r="G129" s="93" t="s">
        <v>24</v>
      </c>
      <c r="H129" s="45">
        <v>5.0</v>
      </c>
      <c r="I129" s="45" t="s">
        <v>163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107" t="s">
        <v>130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7</v>
      </c>
      <c r="T129" s="18">
        <f t="shared" si="26"/>
        <v>8</v>
      </c>
      <c r="U129" s="20">
        <f t="shared" si="27"/>
        <v>55</v>
      </c>
      <c r="V129" s="18">
        <f t="shared" si="28"/>
        <v>-47</v>
      </c>
      <c r="W129" s="64"/>
      <c r="X129" s="64"/>
      <c r="Y129" s="64"/>
      <c r="Z129" s="64"/>
      <c r="AA129" s="64"/>
      <c r="AB129" s="64"/>
      <c r="AC129" s="64"/>
      <c r="AD129" s="64"/>
      <c r="AE129" s="22">
        <v>4.0</v>
      </c>
      <c r="AF129" s="23" t="s">
        <v>65</v>
      </c>
      <c r="AG129" s="23">
        <v>15.0</v>
      </c>
      <c r="AH129" s="23">
        <v>5.0</v>
      </c>
      <c r="AI129" s="23">
        <v>0.0</v>
      </c>
      <c r="AJ129" s="23">
        <v>3.0</v>
      </c>
      <c r="AK129" s="23">
        <v>39.0</v>
      </c>
      <c r="AL129" s="23">
        <v>20.0</v>
      </c>
      <c r="AM129" s="23">
        <v>19.0</v>
      </c>
      <c r="AN129" s="18"/>
    </row>
    <row r="130" ht="15.75" customHeight="1">
      <c r="A130" s="25"/>
      <c r="B130" s="125"/>
      <c r="C130" s="93"/>
      <c r="D130" s="68"/>
      <c r="E130" s="45" t="s">
        <v>164</v>
      </c>
      <c r="F130" s="68"/>
      <c r="G130" s="93" t="s">
        <v>24</v>
      </c>
      <c r="H130" s="68"/>
      <c r="I130" s="45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107" t="s">
        <v>60</v>
      </c>
      <c r="P130" s="18">
        <f t="shared" si="22"/>
        <v>18</v>
      </c>
      <c r="Q130" s="18">
        <f t="shared" si="23"/>
        <v>6</v>
      </c>
      <c r="R130" s="20">
        <f t="shared" si="24"/>
        <v>0</v>
      </c>
      <c r="S130" s="20">
        <f t="shared" si="25"/>
        <v>2</v>
      </c>
      <c r="T130" s="18">
        <f t="shared" si="26"/>
        <v>55</v>
      </c>
      <c r="U130" s="20">
        <f t="shared" si="27"/>
        <v>16</v>
      </c>
      <c r="V130" s="18">
        <f t="shared" si="28"/>
        <v>39</v>
      </c>
      <c r="W130" s="64"/>
      <c r="X130" s="64"/>
      <c r="Y130" s="64"/>
      <c r="Z130" s="64"/>
      <c r="AA130" s="64"/>
      <c r="AB130" s="64"/>
      <c r="AC130" s="64"/>
      <c r="AD130" s="64"/>
      <c r="AE130" s="22">
        <v>5.0</v>
      </c>
      <c r="AF130" s="23" t="s">
        <v>108</v>
      </c>
      <c r="AG130" s="23">
        <v>12.0</v>
      </c>
      <c r="AH130" s="23">
        <v>4.0</v>
      </c>
      <c r="AI130" s="23">
        <v>0.0</v>
      </c>
      <c r="AJ130" s="23">
        <v>4.0</v>
      </c>
      <c r="AK130" s="23">
        <v>24.0</v>
      </c>
      <c r="AL130" s="23">
        <v>21.0</v>
      </c>
      <c r="AM130" s="23">
        <v>3.0</v>
      </c>
      <c r="AN130" s="18"/>
    </row>
    <row r="131" ht="15.75" customHeight="1">
      <c r="A131" s="10">
        <v>2.0</v>
      </c>
      <c r="B131" s="11">
        <v>45953.0</v>
      </c>
      <c r="C131" s="12" t="s">
        <v>49</v>
      </c>
      <c r="D131" s="12" t="s">
        <v>22</v>
      </c>
      <c r="E131" s="45" t="s">
        <v>162</v>
      </c>
      <c r="F131" s="45">
        <v>0.0</v>
      </c>
      <c r="G131" s="93" t="s">
        <v>24</v>
      </c>
      <c r="H131" s="45">
        <v>3.0</v>
      </c>
      <c r="I131" s="45" t="s">
        <v>108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107" t="s">
        <v>164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4</v>
      </c>
      <c r="T131" s="18">
        <f t="shared" si="26"/>
        <v>37</v>
      </c>
      <c r="U131" s="20">
        <f t="shared" si="27"/>
        <v>36</v>
      </c>
      <c r="V131" s="18">
        <f t="shared" si="28"/>
        <v>1</v>
      </c>
      <c r="W131" s="64"/>
      <c r="X131" s="64"/>
      <c r="Y131" s="64"/>
      <c r="Z131" s="64"/>
      <c r="AA131" s="64"/>
      <c r="AB131" s="64"/>
      <c r="AC131" s="64"/>
      <c r="AD131" s="64"/>
      <c r="AE131" s="22">
        <v>6.0</v>
      </c>
      <c r="AF131" s="23" t="s">
        <v>164</v>
      </c>
      <c r="AG131" s="23">
        <v>12.0</v>
      </c>
      <c r="AH131" s="23">
        <v>4.0</v>
      </c>
      <c r="AI131" s="23">
        <v>0.0</v>
      </c>
      <c r="AJ131" s="23">
        <v>4.0</v>
      </c>
      <c r="AK131" s="23">
        <v>37.0</v>
      </c>
      <c r="AL131" s="23">
        <v>36.0</v>
      </c>
      <c r="AM131" s="23">
        <v>1.0</v>
      </c>
      <c r="AN131" s="18"/>
    </row>
    <row r="132" ht="15.75" customHeight="1">
      <c r="A132" s="25"/>
      <c r="B132" s="128"/>
      <c r="C132" s="99"/>
      <c r="D132" s="99"/>
      <c r="E132" s="45">
        <v>0.0</v>
      </c>
      <c r="F132" s="68"/>
      <c r="G132" s="93" t="s">
        <v>24</v>
      </c>
      <c r="H132" s="68"/>
      <c r="I132" s="45" t="s">
        <v>65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107" t="s">
        <v>163</v>
      </c>
      <c r="P132" s="18">
        <f t="shared" si="22"/>
        <v>24</v>
      </c>
      <c r="Q132" s="18">
        <f t="shared" si="23"/>
        <v>8</v>
      </c>
      <c r="R132" s="20">
        <f t="shared" si="24"/>
        <v>0</v>
      </c>
      <c r="S132" s="20">
        <f t="shared" si="25"/>
        <v>0</v>
      </c>
      <c r="T132" s="18">
        <f t="shared" si="26"/>
        <v>46</v>
      </c>
      <c r="U132" s="20">
        <f t="shared" si="27"/>
        <v>18</v>
      </c>
      <c r="V132" s="18">
        <f t="shared" si="28"/>
        <v>28</v>
      </c>
      <c r="W132" s="64"/>
      <c r="X132" s="64"/>
      <c r="Y132" s="64"/>
      <c r="Z132" s="64"/>
      <c r="AA132" s="64"/>
      <c r="AB132" s="64"/>
      <c r="AC132" s="64"/>
      <c r="AD132" s="64"/>
      <c r="AE132" s="22">
        <v>7.0</v>
      </c>
      <c r="AF132" s="23" t="s">
        <v>162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21</v>
      </c>
      <c r="D133" s="12" t="s">
        <v>22</v>
      </c>
      <c r="E133" s="45" t="s">
        <v>122</v>
      </c>
      <c r="F133" s="45">
        <v>6.0</v>
      </c>
      <c r="G133" s="93" t="s">
        <v>24</v>
      </c>
      <c r="H133" s="45">
        <v>1.0</v>
      </c>
      <c r="I133" s="45" t="s">
        <v>130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107" t="s">
        <v>61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7</v>
      </c>
      <c r="T133" s="18">
        <f t="shared" si="26"/>
        <v>20</v>
      </c>
      <c r="U133" s="20">
        <f t="shared" si="27"/>
        <v>38</v>
      </c>
      <c r="V133" s="18">
        <f t="shared" si="28"/>
        <v>-18</v>
      </c>
      <c r="W133" s="64"/>
      <c r="X133" s="64"/>
      <c r="Y133" s="64"/>
      <c r="Z133" s="64"/>
      <c r="AA133" s="64"/>
      <c r="AB133" s="64"/>
      <c r="AC133" s="64"/>
      <c r="AD133" s="64"/>
      <c r="AE133" s="22">
        <v>8.0</v>
      </c>
      <c r="AF133" s="23" t="s">
        <v>61</v>
      </c>
      <c r="AG133" s="23">
        <v>3.0</v>
      </c>
      <c r="AH133" s="23">
        <v>1.0</v>
      </c>
      <c r="AI133" s="23">
        <v>0.0</v>
      </c>
      <c r="AJ133" s="23">
        <v>7.0</v>
      </c>
      <c r="AK133" s="23">
        <v>20.0</v>
      </c>
      <c r="AL133" s="23">
        <v>38.0</v>
      </c>
      <c r="AM133" s="23">
        <v>-18.0</v>
      </c>
      <c r="AN133" s="18"/>
    </row>
    <row r="134" ht="15.75" customHeight="1">
      <c r="A134" s="25"/>
      <c r="B134" s="11">
        <v>45958.0</v>
      </c>
      <c r="C134" s="12" t="s">
        <v>55</v>
      </c>
      <c r="D134" s="12" t="s">
        <v>78</v>
      </c>
      <c r="E134" s="45" t="s">
        <v>61</v>
      </c>
      <c r="F134" s="45">
        <v>2.0</v>
      </c>
      <c r="G134" s="93" t="s">
        <v>24</v>
      </c>
      <c r="H134" s="45">
        <v>3.0</v>
      </c>
      <c r="I134" s="45" t="s">
        <v>60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107" t="s">
        <v>122</v>
      </c>
      <c r="P134" s="18">
        <f t="shared" si="22"/>
        <v>18</v>
      </c>
      <c r="Q134" s="18">
        <f t="shared" si="23"/>
        <v>6</v>
      </c>
      <c r="R134" s="20">
        <f t="shared" si="24"/>
        <v>0</v>
      </c>
      <c r="S134" s="20">
        <f t="shared" si="25"/>
        <v>2</v>
      </c>
      <c r="T134" s="18">
        <f t="shared" si="26"/>
        <v>42</v>
      </c>
      <c r="U134" s="20">
        <f t="shared" si="27"/>
        <v>18</v>
      </c>
      <c r="V134" s="18">
        <f t="shared" si="28"/>
        <v>24</v>
      </c>
      <c r="W134" s="64"/>
      <c r="X134" s="64"/>
      <c r="Y134" s="64"/>
      <c r="Z134" s="64"/>
      <c r="AA134" s="64"/>
      <c r="AB134" s="64"/>
      <c r="AC134" s="64"/>
      <c r="AD134" s="64"/>
      <c r="AE134" s="22">
        <v>9.0</v>
      </c>
      <c r="AF134" s="23" t="s">
        <v>130</v>
      </c>
      <c r="AG134" s="23">
        <v>1.0</v>
      </c>
      <c r="AH134" s="23">
        <v>0.0</v>
      </c>
      <c r="AI134" s="23">
        <v>1.0</v>
      </c>
      <c r="AJ134" s="23">
        <v>7.0</v>
      </c>
      <c r="AK134" s="23">
        <v>8.0</v>
      </c>
      <c r="AL134" s="23">
        <v>55.0</v>
      </c>
      <c r="AM134" s="23">
        <v>-47.0</v>
      </c>
      <c r="AN134" s="18"/>
    </row>
    <row r="135" ht="15.75" customHeight="1">
      <c r="A135" s="25"/>
      <c r="B135" s="11">
        <v>45958.0</v>
      </c>
      <c r="C135" s="39" t="s">
        <v>52</v>
      </c>
      <c r="D135" s="12" t="s">
        <v>78</v>
      </c>
      <c r="E135" s="45" t="s">
        <v>163</v>
      </c>
      <c r="F135" s="45">
        <v>5.0</v>
      </c>
      <c r="G135" s="93" t="s">
        <v>24</v>
      </c>
      <c r="H135" s="45">
        <v>2.0</v>
      </c>
      <c r="I135" s="45" t="s">
        <v>164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64"/>
      <c r="AE135" s="35" t="s">
        <v>165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49</v>
      </c>
      <c r="D136" s="12" t="s">
        <v>22</v>
      </c>
      <c r="E136" s="45" t="s">
        <v>130</v>
      </c>
      <c r="F136" s="45">
        <v>2.0</v>
      </c>
      <c r="G136" s="93" t="s">
        <v>24</v>
      </c>
      <c r="H136" s="45">
        <v>2.0</v>
      </c>
      <c r="I136" s="45" t="s">
        <v>162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4"/>
      <c r="X136" s="64"/>
      <c r="Y136" s="64"/>
      <c r="Z136" s="64"/>
      <c r="AA136" s="64"/>
      <c r="AB136" s="64"/>
      <c r="AC136" s="64"/>
      <c r="AD136" s="64"/>
      <c r="AE136" s="80" t="s">
        <v>159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21</v>
      </c>
      <c r="D137" s="12" t="s">
        <v>22</v>
      </c>
      <c r="E137" s="45" t="s">
        <v>108</v>
      </c>
      <c r="F137" s="45">
        <v>3.0</v>
      </c>
      <c r="G137" s="93" t="s">
        <v>24</v>
      </c>
      <c r="H137" s="45">
        <v>4.0</v>
      </c>
      <c r="I137" s="45" t="s">
        <v>65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4"/>
      <c r="X137" s="64"/>
      <c r="Y137" s="64"/>
      <c r="Z137" s="64"/>
      <c r="AA137" s="64"/>
      <c r="AB137" s="64"/>
      <c r="AC137" s="64"/>
      <c r="AD137" s="64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49</v>
      </c>
      <c r="D138" s="12" t="s">
        <v>22</v>
      </c>
      <c r="E138" s="45" t="s">
        <v>60</v>
      </c>
      <c r="F138" s="45">
        <v>3.0</v>
      </c>
      <c r="G138" s="93" t="s">
        <v>24</v>
      </c>
      <c r="H138" s="45">
        <v>4.0</v>
      </c>
      <c r="I138" s="45" t="s">
        <v>122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D138" s="64"/>
      <c r="AE138" s="82" t="s">
        <v>98</v>
      </c>
      <c r="AF138" s="83"/>
      <c r="AG138" s="83"/>
      <c r="AH138" s="83"/>
      <c r="AI138" s="83"/>
      <c r="AJ138" s="83"/>
      <c r="AK138" s="83"/>
      <c r="AL138" s="83"/>
      <c r="AM138" s="84"/>
      <c r="AN138" s="4"/>
    </row>
    <row r="139" ht="15.75" customHeight="1">
      <c r="A139" s="25"/>
      <c r="B139" s="11">
        <v>45972.0</v>
      </c>
      <c r="C139" s="39" t="s">
        <v>21</v>
      </c>
      <c r="D139" s="12" t="s">
        <v>22</v>
      </c>
      <c r="E139" s="45" t="s">
        <v>164</v>
      </c>
      <c r="F139" s="45">
        <v>6.0</v>
      </c>
      <c r="G139" s="93" t="s">
        <v>24</v>
      </c>
      <c r="H139" s="45">
        <v>5.0</v>
      </c>
      <c r="I139" s="45" t="s">
        <v>61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D139" s="64"/>
      <c r="AE139" s="85"/>
      <c r="AF139" s="86"/>
      <c r="AG139" s="86"/>
      <c r="AH139" s="86"/>
      <c r="AI139" s="86"/>
      <c r="AJ139" s="86"/>
      <c r="AK139" s="86"/>
      <c r="AL139" s="86"/>
      <c r="AM139" s="87"/>
      <c r="AN139" s="4"/>
    </row>
    <row r="140" ht="15.75" customHeight="1">
      <c r="A140" s="25"/>
      <c r="B140" s="125"/>
      <c r="C140" s="93"/>
      <c r="D140" s="93"/>
      <c r="E140" s="45">
        <v>0.0</v>
      </c>
      <c r="F140" s="68"/>
      <c r="G140" s="93" t="s">
        <v>24</v>
      </c>
      <c r="H140" s="68"/>
      <c r="I140" s="45" t="s">
        <v>163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D140" s="64"/>
      <c r="AE140" s="5" t="s">
        <v>11</v>
      </c>
      <c r="AF140" s="5" t="s">
        <v>12</v>
      </c>
      <c r="AG140" s="5" t="s">
        <v>13</v>
      </c>
      <c r="AH140" s="5" t="s">
        <v>14</v>
      </c>
      <c r="AI140" s="5" t="s">
        <v>15</v>
      </c>
      <c r="AJ140" s="5" t="s">
        <v>16</v>
      </c>
      <c r="AK140" s="5" t="s">
        <v>17</v>
      </c>
      <c r="AL140" s="5" t="s">
        <v>18</v>
      </c>
      <c r="AM140" s="5" t="s">
        <v>19</v>
      </c>
      <c r="AN140" s="4"/>
    </row>
    <row r="141" ht="15.75" customHeight="1">
      <c r="A141" s="10">
        <v>4.0</v>
      </c>
      <c r="B141" s="11">
        <v>46364.0</v>
      </c>
      <c r="C141" s="12" t="s">
        <v>49</v>
      </c>
      <c r="D141" s="12" t="s">
        <v>22</v>
      </c>
      <c r="E141" s="45" t="s">
        <v>162</v>
      </c>
      <c r="F141" s="12">
        <v>0.0</v>
      </c>
      <c r="G141" s="93" t="s">
        <v>24</v>
      </c>
      <c r="H141" s="45">
        <v>22.0</v>
      </c>
      <c r="I141" s="45" t="s">
        <v>60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64"/>
      <c r="AE141" s="129"/>
      <c r="AF141" s="23" t="s">
        <v>163</v>
      </c>
      <c r="AG141" s="23">
        <v>24.0</v>
      </c>
      <c r="AH141" s="23">
        <v>8.0</v>
      </c>
      <c r="AI141" s="23">
        <v>0.0</v>
      </c>
      <c r="AJ141" s="23">
        <v>0.0</v>
      </c>
      <c r="AK141" s="23">
        <v>46.0</v>
      </c>
      <c r="AL141" s="23">
        <v>18.0</v>
      </c>
      <c r="AM141" s="23">
        <v>28.0</v>
      </c>
      <c r="AN141" s="37"/>
    </row>
    <row r="142" ht="15.75" customHeight="1">
      <c r="A142" s="25"/>
      <c r="B142" s="11">
        <v>46364.0</v>
      </c>
      <c r="C142" s="39" t="s">
        <v>21</v>
      </c>
      <c r="D142" s="12" t="s">
        <v>22</v>
      </c>
      <c r="E142" s="45" t="s">
        <v>65</v>
      </c>
      <c r="F142" s="12">
        <v>15.0</v>
      </c>
      <c r="G142" s="93" t="s">
        <v>24</v>
      </c>
      <c r="H142" s="45">
        <v>1.0</v>
      </c>
      <c r="I142" s="45" t="s">
        <v>130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64"/>
      <c r="AE142" s="46" t="s">
        <v>29</v>
      </c>
      <c r="AF142" s="23" t="s">
        <v>122</v>
      </c>
      <c r="AG142" s="23">
        <v>18.0</v>
      </c>
      <c r="AH142" s="23">
        <v>6.0</v>
      </c>
      <c r="AI142" s="23">
        <v>0.0</v>
      </c>
      <c r="AJ142" s="23">
        <v>2.0</v>
      </c>
      <c r="AK142" s="23">
        <v>42.0</v>
      </c>
      <c r="AL142" s="23">
        <v>18.0</v>
      </c>
      <c r="AM142" s="23">
        <v>24.0</v>
      </c>
      <c r="AN142" s="4"/>
    </row>
    <row r="143" ht="15.75" customHeight="1">
      <c r="A143" s="25"/>
      <c r="B143" s="128"/>
      <c r="C143" s="99"/>
      <c r="D143" s="99"/>
      <c r="E143" s="45" t="s">
        <v>108</v>
      </c>
      <c r="F143" s="99"/>
      <c r="G143" s="93" t="s">
        <v>24</v>
      </c>
      <c r="H143" s="68"/>
      <c r="I143" s="45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64"/>
      <c r="AE143" s="124" t="s">
        <v>106</v>
      </c>
      <c r="AF143" s="23" t="s">
        <v>60</v>
      </c>
      <c r="AG143" s="23">
        <v>18.0</v>
      </c>
      <c r="AH143" s="23">
        <v>6.0</v>
      </c>
      <c r="AI143" s="23">
        <v>0.0</v>
      </c>
      <c r="AJ143" s="23">
        <v>2.0</v>
      </c>
      <c r="AK143" s="23">
        <v>55.0</v>
      </c>
      <c r="AL143" s="23">
        <v>16.0</v>
      </c>
      <c r="AM143" s="23">
        <v>39.0</v>
      </c>
      <c r="AN143" s="4"/>
    </row>
    <row r="144" ht="15.75" customHeight="1">
      <c r="A144" s="25"/>
      <c r="B144" s="11">
        <v>46364.0</v>
      </c>
      <c r="C144" s="12" t="s">
        <v>30</v>
      </c>
      <c r="D144" s="12" t="s">
        <v>22</v>
      </c>
      <c r="E144" s="45" t="s">
        <v>122</v>
      </c>
      <c r="F144" s="12">
        <v>6.0</v>
      </c>
      <c r="G144" s="93" t="s">
        <v>24</v>
      </c>
      <c r="H144" s="45">
        <v>3.0</v>
      </c>
      <c r="I144" s="45" t="s">
        <v>164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64"/>
      <c r="AE144" s="53">
        <v>3.0</v>
      </c>
      <c r="AF144" s="23" t="s">
        <v>65</v>
      </c>
      <c r="AG144" s="23">
        <v>15.0</v>
      </c>
      <c r="AH144" s="23">
        <v>5.0</v>
      </c>
      <c r="AI144" s="23">
        <v>0.0</v>
      </c>
      <c r="AJ144" s="23">
        <v>3.0</v>
      </c>
      <c r="AK144" s="23">
        <v>39.0</v>
      </c>
      <c r="AL144" s="23">
        <v>20.0</v>
      </c>
      <c r="AM144" s="23">
        <v>19.0</v>
      </c>
      <c r="AN144" s="4"/>
    </row>
    <row r="145" ht="15.75" customHeight="1">
      <c r="A145" s="25"/>
      <c r="B145" s="11">
        <v>46364.0</v>
      </c>
      <c r="C145" s="12" t="s">
        <v>35</v>
      </c>
      <c r="D145" s="12" t="s">
        <v>22</v>
      </c>
      <c r="E145" s="45" t="s">
        <v>61</v>
      </c>
      <c r="F145" s="12">
        <v>3.0</v>
      </c>
      <c r="G145" s="93" t="s">
        <v>24</v>
      </c>
      <c r="H145" s="45">
        <v>6.0</v>
      </c>
      <c r="I145" s="45" t="s">
        <v>163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64"/>
      <c r="AE145" s="53">
        <v>4.0</v>
      </c>
      <c r="AF145" s="23" t="s">
        <v>108</v>
      </c>
      <c r="AG145" s="23">
        <v>12.0</v>
      </c>
      <c r="AH145" s="23">
        <v>4.0</v>
      </c>
      <c r="AI145" s="23">
        <v>0.0</v>
      </c>
      <c r="AJ145" s="23">
        <v>4.0</v>
      </c>
      <c r="AK145" s="23">
        <v>24.0</v>
      </c>
      <c r="AL145" s="23">
        <v>21.0</v>
      </c>
      <c r="AM145" s="23">
        <v>3.0</v>
      </c>
      <c r="AN145" s="4"/>
    </row>
    <row r="146" ht="15.75" customHeight="1">
      <c r="A146" s="10">
        <v>5.0</v>
      </c>
      <c r="B146" s="11">
        <v>46064.0</v>
      </c>
      <c r="C146" s="12" t="s">
        <v>55</v>
      </c>
      <c r="D146" s="12" t="s">
        <v>78</v>
      </c>
      <c r="E146" s="45" t="s">
        <v>164</v>
      </c>
      <c r="F146" s="45">
        <v>8.0</v>
      </c>
      <c r="G146" s="93" t="s">
        <v>24</v>
      </c>
      <c r="H146" s="45">
        <v>4.0</v>
      </c>
      <c r="I146" s="45" t="s">
        <v>162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64"/>
      <c r="AE146" s="53">
        <v>5.0</v>
      </c>
      <c r="AF146" s="23" t="s">
        <v>164</v>
      </c>
      <c r="AG146" s="23">
        <v>12.0</v>
      </c>
      <c r="AH146" s="23">
        <v>4.0</v>
      </c>
      <c r="AI146" s="23">
        <v>0.0</v>
      </c>
      <c r="AJ146" s="23">
        <v>4.0</v>
      </c>
      <c r="AK146" s="23">
        <v>37.0</v>
      </c>
      <c r="AL146" s="23">
        <v>36.0</v>
      </c>
      <c r="AM146" s="23">
        <v>1.0</v>
      </c>
      <c r="AN146" s="4"/>
    </row>
    <row r="147" ht="15.75" customHeight="1">
      <c r="A147" s="25"/>
      <c r="B147" s="11">
        <v>46077.0</v>
      </c>
      <c r="C147" s="12" t="s">
        <v>55</v>
      </c>
      <c r="D147" s="12" t="s">
        <v>78</v>
      </c>
      <c r="E147" s="45" t="s">
        <v>60</v>
      </c>
      <c r="F147" s="45">
        <v>5.0</v>
      </c>
      <c r="G147" s="93" t="s">
        <v>24</v>
      </c>
      <c r="H147" s="45">
        <v>3.0</v>
      </c>
      <c r="I147" s="45" t="s">
        <v>65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53">
        <v>6.0</v>
      </c>
      <c r="AF147" s="23" t="s">
        <v>162</v>
      </c>
      <c r="AG147" s="23">
        <v>4.0</v>
      </c>
      <c r="AH147" s="23">
        <v>1.0</v>
      </c>
      <c r="AI147" s="23">
        <v>1.0</v>
      </c>
      <c r="AJ147" s="23">
        <v>6.0</v>
      </c>
      <c r="AK147" s="23">
        <v>17.0</v>
      </c>
      <c r="AL147" s="23">
        <v>66.0</v>
      </c>
      <c r="AM147" s="23">
        <v>-49.0</v>
      </c>
      <c r="AN147" s="4"/>
    </row>
    <row r="148" ht="15.75" customHeight="1">
      <c r="A148" s="25"/>
      <c r="B148" s="11">
        <v>46077.0</v>
      </c>
      <c r="C148" s="39" t="s">
        <v>52</v>
      </c>
      <c r="D148" s="12" t="s">
        <v>78</v>
      </c>
      <c r="E148" s="45" t="s">
        <v>130</v>
      </c>
      <c r="F148" s="45">
        <v>1.0</v>
      </c>
      <c r="G148" s="93" t="s">
        <v>24</v>
      </c>
      <c r="H148" s="45">
        <v>5.0</v>
      </c>
      <c r="I148" s="45" t="s">
        <v>108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53">
        <v>7.0</v>
      </c>
      <c r="AF148" s="23" t="s">
        <v>61</v>
      </c>
      <c r="AG148" s="23">
        <v>3.0</v>
      </c>
      <c r="AH148" s="23">
        <v>1.0</v>
      </c>
      <c r="AI148" s="23">
        <v>0.0</v>
      </c>
      <c r="AJ148" s="23">
        <v>7.0</v>
      </c>
      <c r="AK148" s="23">
        <v>20.0</v>
      </c>
      <c r="AL148" s="23">
        <v>38.0</v>
      </c>
      <c r="AM148" s="23">
        <v>-18.0</v>
      </c>
      <c r="AN148" s="4"/>
    </row>
    <row r="149" ht="15.75" customHeight="1">
      <c r="A149" s="25"/>
      <c r="B149" s="11">
        <v>46064.0</v>
      </c>
      <c r="C149" s="39" t="s">
        <v>52</v>
      </c>
      <c r="D149" s="12" t="s">
        <v>78</v>
      </c>
      <c r="E149" s="45" t="s">
        <v>163</v>
      </c>
      <c r="F149" s="45">
        <v>3.0</v>
      </c>
      <c r="G149" s="93" t="s">
        <v>24</v>
      </c>
      <c r="H149" s="45">
        <v>1.0</v>
      </c>
      <c r="I149" s="45" t="s">
        <v>122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53">
        <v>8.0</v>
      </c>
      <c r="AF149" s="23" t="s">
        <v>130</v>
      </c>
      <c r="AG149" s="23">
        <v>1.0</v>
      </c>
      <c r="AH149" s="23">
        <v>0.0</v>
      </c>
      <c r="AI149" s="23">
        <v>1.0</v>
      </c>
      <c r="AJ149" s="23">
        <v>7.0</v>
      </c>
      <c r="AK149" s="23">
        <v>8.0</v>
      </c>
      <c r="AL149" s="23">
        <v>55.0</v>
      </c>
      <c r="AM149" s="23">
        <v>-47.0</v>
      </c>
      <c r="AN149" s="4"/>
    </row>
    <row r="150" ht="15.75" customHeight="1">
      <c r="A150" s="25"/>
      <c r="B150" s="125"/>
      <c r="C150" s="93"/>
      <c r="D150" s="93"/>
      <c r="E150" s="45">
        <v>0.0</v>
      </c>
      <c r="F150" s="68"/>
      <c r="G150" s="93" t="s">
        <v>24</v>
      </c>
      <c r="H150" s="68"/>
      <c r="I150" s="45" t="s">
        <v>61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35" t="s">
        <v>166</v>
      </c>
      <c r="AH150" s="32"/>
      <c r="AI150" s="32"/>
      <c r="AJ150" s="32"/>
      <c r="AK150" s="32"/>
      <c r="AL150" s="32"/>
      <c r="AM150" s="32"/>
      <c r="AN150" s="4"/>
    </row>
    <row r="151" ht="15.75" customHeight="1">
      <c r="A151" s="10">
        <v>6.0</v>
      </c>
      <c r="B151" s="11">
        <v>46089.0</v>
      </c>
      <c r="C151" s="39" t="s">
        <v>51</v>
      </c>
      <c r="D151" s="12" t="s">
        <v>78</v>
      </c>
      <c r="E151" s="45" t="s">
        <v>162</v>
      </c>
      <c r="F151" s="45">
        <v>3.0</v>
      </c>
      <c r="G151" s="93" t="s">
        <v>24</v>
      </c>
      <c r="H151" s="45">
        <v>11.0</v>
      </c>
      <c r="I151" s="45" t="s">
        <v>163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80" t="s">
        <v>159</v>
      </c>
      <c r="AH151" s="18"/>
      <c r="AI151" s="18"/>
      <c r="AJ151" s="18"/>
      <c r="AK151" s="18"/>
      <c r="AL151" s="18"/>
      <c r="AM151" s="18"/>
      <c r="AN151" s="4"/>
    </row>
    <row r="152" ht="15.75" customHeight="1">
      <c r="A152" s="25"/>
      <c r="B152" s="11">
        <v>46089.0</v>
      </c>
      <c r="C152" s="12" t="s">
        <v>55</v>
      </c>
      <c r="D152" s="12" t="s">
        <v>78</v>
      </c>
      <c r="E152" s="45" t="s">
        <v>65</v>
      </c>
      <c r="F152" s="45">
        <v>4.0</v>
      </c>
      <c r="G152" s="93" t="s">
        <v>24</v>
      </c>
      <c r="H152" s="45">
        <v>6.0</v>
      </c>
      <c r="I152" s="45" t="s">
        <v>164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4"/>
      <c r="AG152" s="64"/>
      <c r="AH152" s="37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52</v>
      </c>
      <c r="D153" s="12" t="s">
        <v>78</v>
      </c>
      <c r="E153" s="45" t="s">
        <v>108</v>
      </c>
      <c r="F153" s="45">
        <v>0.0</v>
      </c>
      <c r="G153" s="93" t="s">
        <v>24</v>
      </c>
      <c r="H153" s="45">
        <v>2.0</v>
      </c>
      <c r="I153" s="45" t="s">
        <v>60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G153" s="64"/>
      <c r="AJ153" s="4"/>
      <c r="AK153" s="4"/>
      <c r="AL153" s="4"/>
      <c r="AM153" s="4"/>
      <c r="AN153" s="4"/>
    </row>
    <row r="154" ht="15.75" customHeight="1">
      <c r="A154" s="25"/>
      <c r="B154" s="128"/>
      <c r="C154" s="95"/>
      <c r="D154" s="99"/>
      <c r="E154" s="45" t="s">
        <v>130</v>
      </c>
      <c r="F154" s="68"/>
      <c r="G154" s="93" t="s">
        <v>24</v>
      </c>
      <c r="H154" s="68"/>
      <c r="I154" s="45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G154" s="6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53</v>
      </c>
      <c r="D155" s="12" t="s">
        <v>78</v>
      </c>
      <c r="E155" s="45" t="s">
        <v>122</v>
      </c>
      <c r="F155" s="45">
        <v>7.0</v>
      </c>
      <c r="G155" s="93" t="s">
        <v>24</v>
      </c>
      <c r="H155" s="45">
        <v>2.0</v>
      </c>
      <c r="I155" s="45" t="s">
        <v>61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G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55</v>
      </c>
      <c r="D156" s="12" t="s">
        <v>78</v>
      </c>
      <c r="E156" s="45" t="s">
        <v>61</v>
      </c>
      <c r="F156" s="45">
        <v>4.0</v>
      </c>
      <c r="G156" s="93" t="s">
        <v>24</v>
      </c>
      <c r="H156" s="45">
        <v>8.0</v>
      </c>
      <c r="I156" s="45" t="s">
        <v>162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G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55</v>
      </c>
      <c r="D157" s="12" t="s">
        <v>78</v>
      </c>
      <c r="E157" s="45" t="s">
        <v>163</v>
      </c>
      <c r="F157" s="45">
        <v>3.0</v>
      </c>
      <c r="G157" s="93" t="s">
        <v>24</v>
      </c>
      <c r="H157" s="45">
        <v>2.0</v>
      </c>
      <c r="I157" s="45" t="s">
        <v>65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7" t="s">
        <v>53</v>
      </c>
      <c r="D158" s="12" t="s">
        <v>78</v>
      </c>
      <c r="E158" s="45" t="s">
        <v>164</v>
      </c>
      <c r="F158" s="45">
        <v>1.0</v>
      </c>
      <c r="G158" s="93" t="s">
        <v>24</v>
      </c>
      <c r="H158" s="45">
        <v>3.0</v>
      </c>
      <c r="I158" s="45" t="s">
        <v>108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4"/>
      <c r="AF158" s="4"/>
      <c r="AG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52</v>
      </c>
      <c r="D159" s="12" t="s">
        <v>78</v>
      </c>
      <c r="E159" s="45" t="s">
        <v>60</v>
      </c>
      <c r="F159" s="45">
        <v>9.0</v>
      </c>
      <c r="G159" s="93" t="s">
        <v>24</v>
      </c>
      <c r="H159" s="45">
        <v>0.0</v>
      </c>
      <c r="I159" s="45" t="s">
        <v>130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25"/>
      <c r="C160" s="93"/>
      <c r="D160" s="93"/>
      <c r="E160" s="45">
        <v>0.0</v>
      </c>
      <c r="F160" s="68"/>
      <c r="G160" s="93" t="s">
        <v>24</v>
      </c>
      <c r="H160" s="68"/>
      <c r="I160" s="45" t="s">
        <v>122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55</v>
      </c>
      <c r="D161" s="12" t="s">
        <v>78</v>
      </c>
      <c r="E161" s="45" t="s">
        <v>162</v>
      </c>
      <c r="F161" s="45">
        <v>0.0</v>
      </c>
      <c r="G161" s="93" t="s">
        <v>24</v>
      </c>
      <c r="H161" s="45">
        <v>11.0</v>
      </c>
      <c r="I161" s="45" t="s">
        <v>122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4"/>
      <c r="X161" s="64"/>
      <c r="Y161" s="64"/>
      <c r="Z161" s="64"/>
      <c r="AA161" s="64"/>
      <c r="AB161" s="64"/>
      <c r="AC161" s="64"/>
      <c r="AD161" s="6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52</v>
      </c>
      <c r="D162" s="12" t="s">
        <v>78</v>
      </c>
      <c r="E162" s="45" t="s">
        <v>65</v>
      </c>
      <c r="F162" s="45">
        <v>3.0</v>
      </c>
      <c r="G162" s="93" t="s">
        <v>24</v>
      </c>
      <c r="H162" s="45">
        <v>1.0</v>
      </c>
      <c r="I162" s="45" t="s">
        <v>61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4"/>
      <c r="X162" s="64"/>
      <c r="Y162" s="64"/>
      <c r="Z162" s="64"/>
      <c r="AA162" s="64"/>
      <c r="AB162" s="64"/>
      <c r="AC162" s="64"/>
      <c r="AD162" s="6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7" t="s">
        <v>53</v>
      </c>
      <c r="D163" s="12" t="s">
        <v>78</v>
      </c>
      <c r="E163" s="45" t="s">
        <v>108</v>
      </c>
      <c r="F163" s="45">
        <v>3.0</v>
      </c>
      <c r="G163" s="93" t="s">
        <v>24</v>
      </c>
      <c r="H163" s="45">
        <v>6.0</v>
      </c>
      <c r="I163" s="45" t="s">
        <v>163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4"/>
      <c r="X163" s="64"/>
      <c r="Y163" s="64"/>
      <c r="Z163" s="64"/>
      <c r="AA163" s="64"/>
      <c r="AB163" s="64"/>
      <c r="AC163" s="64"/>
      <c r="AD163" s="6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167</v>
      </c>
      <c r="D164" s="12" t="s">
        <v>22</v>
      </c>
      <c r="E164" s="45" t="s">
        <v>130</v>
      </c>
      <c r="F164" s="45">
        <v>1.0</v>
      </c>
      <c r="G164" s="93" t="s">
        <v>24</v>
      </c>
      <c r="H164" s="45">
        <v>9.0</v>
      </c>
      <c r="I164" s="45" t="s">
        <v>164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4"/>
      <c r="X164" s="64"/>
      <c r="Y164" s="64"/>
      <c r="Z164" s="64"/>
      <c r="AA164" s="64"/>
      <c r="AB164" s="64"/>
      <c r="AC164" s="64"/>
      <c r="AD164" s="6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93"/>
      <c r="D165" s="12"/>
      <c r="E165" s="45" t="s">
        <v>60</v>
      </c>
      <c r="F165" s="68"/>
      <c r="G165" s="93" t="s">
        <v>24</v>
      </c>
      <c r="H165" s="68"/>
      <c r="I165" s="45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4"/>
      <c r="X165" s="64"/>
      <c r="Y165" s="64"/>
      <c r="Z165" s="64"/>
      <c r="AA165" s="64"/>
      <c r="AB165" s="64"/>
      <c r="AC165" s="64"/>
      <c r="AD165" s="6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25"/>
      <c r="C166" s="93"/>
      <c r="D166" s="93"/>
      <c r="E166" s="45">
        <v>0.0</v>
      </c>
      <c r="F166" s="68"/>
      <c r="G166" s="93" t="s">
        <v>24</v>
      </c>
      <c r="H166" s="68"/>
      <c r="I166" s="45" t="s">
        <v>162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4"/>
      <c r="S166" s="4"/>
      <c r="T166" s="4"/>
      <c r="U166" s="4"/>
      <c r="V166" s="4"/>
      <c r="W166" s="64"/>
      <c r="X166" s="64"/>
      <c r="Y166" s="64"/>
      <c r="Z166" s="64"/>
      <c r="AA166" s="64"/>
      <c r="AB166" s="64"/>
      <c r="AC166" s="64"/>
      <c r="AD166" s="64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55</v>
      </c>
      <c r="D167" s="12" t="s">
        <v>78</v>
      </c>
      <c r="E167" s="45" t="s">
        <v>122</v>
      </c>
      <c r="F167" s="45">
        <v>1.0</v>
      </c>
      <c r="G167" s="93" t="s">
        <v>24</v>
      </c>
      <c r="H167" s="45">
        <v>3.0</v>
      </c>
      <c r="I167" s="45" t="s">
        <v>65</v>
      </c>
      <c r="J167" s="64"/>
      <c r="K167" s="4">
        <f t="shared" si="20"/>
        <v>0</v>
      </c>
      <c r="L167" s="18">
        <f t="shared" si="21"/>
        <v>3</v>
      </c>
      <c r="M167" s="64"/>
      <c r="N167" s="64"/>
      <c r="O167" s="64"/>
      <c r="P167" s="64"/>
      <c r="Q167" s="64"/>
      <c r="R167" s="4"/>
      <c r="S167" s="4"/>
      <c r="T167" s="4"/>
      <c r="U167" s="4"/>
      <c r="V167" s="4"/>
      <c r="W167" s="64"/>
      <c r="X167" s="64"/>
      <c r="Y167" s="64"/>
      <c r="Z167" s="64"/>
      <c r="AA167" s="64"/>
      <c r="AB167" s="64"/>
      <c r="AC167" s="64"/>
      <c r="AD167" s="64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55</v>
      </c>
      <c r="D168" s="12" t="s">
        <v>22</v>
      </c>
      <c r="E168" s="45" t="s">
        <v>61</v>
      </c>
      <c r="F168" s="45">
        <v>1.0</v>
      </c>
      <c r="G168" s="93" t="s">
        <v>24</v>
      </c>
      <c r="H168" s="45">
        <v>4.0</v>
      </c>
      <c r="I168" s="45" t="s">
        <v>108</v>
      </c>
      <c r="J168" s="64"/>
      <c r="K168" s="4">
        <f t="shared" si="20"/>
        <v>0</v>
      </c>
      <c r="L168" s="18">
        <f t="shared" si="21"/>
        <v>3</v>
      </c>
      <c r="M168" s="64"/>
      <c r="N168" s="64"/>
      <c r="O168" s="64"/>
      <c r="P168" s="64"/>
      <c r="Q168" s="64"/>
      <c r="R168" s="4"/>
      <c r="S168" s="4"/>
      <c r="T168" s="4"/>
      <c r="U168" s="4"/>
      <c r="V168" s="4"/>
      <c r="W168" s="64"/>
      <c r="X168" s="64"/>
      <c r="Y168" s="64"/>
      <c r="Z168" s="64"/>
      <c r="AA168" s="64"/>
      <c r="AB168" s="64"/>
      <c r="AC168" s="64"/>
      <c r="AD168" s="64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52</v>
      </c>
      <c r="D169" s="12" t="s">
        <v>22</v>
      </c>
      <c r="E169" s="45" t="s">
        <v>163</v>
      </c>
      <c r="F169" s="45">
        <v>7.0</v>
      </c>
      <c r="G169" s="93" t="s">
        <v>24</v>
      </c>
      <c r="H169" s="45">
        <v>1.0</v>
      </c>
      <c r="I169" s="17" t="s">
        <v>130</v>
      </c>
      <c r="J169" s="64"/>
      <c r="K169" s="4">
        <f t="shared" si="20"/>
        <v>3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37"/>
    </row>
    <row r="170" ht="15.75" customHeight="1">
      <c r="A170" s="29"/>
      <c r="B170" s="11">
        <v>46153.0</v>
      </c>
      <c r="C170" s="12" t="s">
        <v>53</v>
      </c>
      <c r="D170" s="12" t="s">
        <v>22</v>
      </c>
      <c r="E170" s="45" t="s">
        <v>164</v>
      </c>
      <c r="F170" s="45">
        <v>2.0</v>
      </c>
      <c r="G170" s="93" t="s">
        <v>24</v>
      </c>
      <c r="H170" s="45">
        <v>8.0</v>
      </c>
      <c r="I170" s="45" t="s">
        <v>60</v>
      </c>
      <c r="J170" s="64"/>
      <c r="K170" s="4">
        <f t="shared" si="20"/>
        <v>0</v>
      </c>
      <c r="L170" s="18">
        <f t="shared" si="21"/>
        <v>3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37"/>
    </row>
    <row r="171" ht="15.75" customHeight="1">
      <c r="A171" s="64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4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4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4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30" t="s">
        <v>168</v>
      </c>
      <c r="H175" s="64"/>
      <c r="I175" s="37"/>
      <c r="J175" s="64"/>
      <c r="K175" s="64"/>
      <c r="L175" s="64"/>
      <c r="M175" s="64"/>
      <c r="N175" s="64"/>
      <c r="O175" s="64"/>
      <c r="P175" s="64"/>
      <c r="Q175" s="64"/>
      <c r="R175" s="4"/>
      <c r="S175" s="4"/>
      <c r="T175" s="4"/>
      <c r="U175" s="4"/>
      <c r="V175" s="4"/>
      <c r="W175" s="64"/>
      <c r="X175" s="64"/>
      <c r="Y175" s="64"/>
      <c r="Z175" s="64"/>
      <c r="AA175" s="64"/>
      <c r="AB175" s="64"/>
      <c r="AC175" s="64"/>
      <c r="AD175" s="64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64"/>
      <c r="X176" s="64"/>
      <c r="Y176" s="64"/>
      <c r="Z176" s="64"/>
      <c r="AA176" s="64"/>
      <c r="AB176" s="64"/>
      <c r="AC176" s="64"/>
      <c r="AD176" s="64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55</v>
      </c>
      <c r="D177" s="12" t="s">
        <v>78</v>
      </c>
      <c r="E177" s="45" t="s">
        <v>31</v>
      </c>
      <c r="F177" s="45">
        <v>2.0</v>
      </c>
      <c r="G177" s="93" t="s">
        <v>24</v>
      </c>
      <c r="H177" s="45">
        <v>4.0</v>
      </c>
      <c r="I177" s="45" t="s">
        <v>39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107" t="s">
        <v>39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4"/>
      <c r="X177" s="64"/>
      <c r="Y177" s="64"/>
      <c r="Z177" s="64"/>
      <c r="AA177" s="64"/>
      <c r="AB177" s="64"/>
      <c r="AC177" s="64"/>
      <c r="AD177" s="64"/>
      <c r="AE177" s="46" t="s">
        <v>29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52</v>
      </c>
      <c r="D178" s="12" t="s">
        <v>78</v>
      </c>
      <c r="E178" s="45" t="s">
        <v>58</v>
      </c>
      <c r="F178" s="45">
        <v>2.0</v>
      </c>
      <c r="G178" s="93" t="s">
        <v>24</v>
      </c>
      <c r="H178" s="45">
        <v>2.0</v>
      </c>
      <c r="I178" s="45" t="s">
        <v>42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107" t="s">
        <v>31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4"/>
      <c r="X178" s="64"/>
      <c r="Y178" s="64"/>
      <c r="Z178" s="64"/>
      <c r="AA178" s="64"/>
      <c r="AB178" s="64"/>
      <c r="AC178" s="64"/>
      <c r="AD178" s="64"/>
      <c r="AE178" s="124" t="s">
        <v>106</v>
      </c>
      <c r="AF178" s="23" t="s">
        <v>42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53</v>
      </c>
      <c r="D179" s="12" t="s">
        <v>78</v>
      </c>
      <c r="E179" s="45" t="s">
        <v>120</v>
      </c>
      <c r="F179" s="45">
        <v>1.0</v>
      </c>
      <c r="G179" s="93" t="s">
        <v>24</v>
      </c>
      <c r="H179" s="45">
        <v>1.0</v>
      </c>
      <c r="I179" s="45" t="s">
        <v>139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107" t="s">
        <v>58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4"/>
      <c r="X179" s="64"/>
      <c r="Y179" s="64"/>
      <c r="Z179" s="64"/>
      <c r="AA179" s="64"/>
      <c r="AB179" s="64"/>
      <c r="AC179" s="64"/>
      <c r="AD179" s="64"/>
      <c r="AE179" s="22">
        <v>3.0</v>
      </c>
      <c r="AF179" s="23" t="s">
        <v>169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128</v>
      </c>
      <c r="D180" s="12" t="s">
        <v>78</v>
      </c>
      <c r="E180" s="45" t="s">
        <v>37</v>
      </c>
      <c r="F180" s="45">
        <v>0.0</v>
      </c>
      <c r="G180" s="93" t="s">
        <v>24</v>
      </c>
      <c r="H180" s="45">
        <v>3.0</v>
      </c>
      <c r="I180" s="45" t="s">
        <v>169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107" t="s">
        <v>120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4"/>
      <c r="X180" s="64"/>
      <c r="Y180" s="64"/>
      <c r="Z180" s="64"/>
      <c r="AA180" s="64"/>
      <c r="AB180" s="64"/>
      <c r="AC180" s="64"/>
      <c r="AD180" s="64"/>
      <c r="AE180" s="22">
        <v>4.0</v>
      </c>
      <c r="AF180" s="23" t="s">
        <v>85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51</v>
      </c>
      <c r="D181" s="12" t="s">
        <v>78</v>
      </c>
      <c r="E181" s="45" t="s">
        <v>64</v>
      </c>
      <c r="F181" s="45">
        <v>2.0</v>
      </c>
      <c r="G181" s="93" t="s">
        <v>24</v>
      </c>
      <c r="H181" s="45">
        <v>1.0</v>
      </c>
      <c r="I181" s="45" t="s">
        <v>85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107" t="s">
        <v>37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4"/>
      <c r="X181" s="64"/>
      <c r="Y181" s="64"/>
      <c r="Z181" s="64"/>
      <c r="AA181" s="64"/>
      <c r="AB181" s="64"/>
      <c r="AC181" s="64"/>
      <c r="AD181" s="64"/>
      <c r="AE181" s="22">
        <v>5.0</v>
      </c>
      <c r="AF181" s="23" t="s">
        <v>139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54</v>
      </c>
      <c r="D182" s="39" t="s">
        <v>22</v>
      </c>
      <c r="E182" s="45" t="s">
        <v>39</v>
      </c>
      <c r="F182" s="45">
        <v>6.0</v>
      </c>
      <c r="G182" s="93" t="s">
        <v>24</v>
      </c>
      <c r="H182" s="45">
        <v>1.0</v>
      </c>
      <c r="I182" s="45" t="s">
        <v>58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107" t="s">
        <v>64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4"/>
      <c r="X182" s="64"/>
      <c r="Y182" s="64"/>
      <c r="Z182" s="64"/>
      <c r="AA182" s="64"/>
      <c r="AB182" s="64"/>
      <c r="AC182" s="64"/>
      <c r="AD182" s="64"/>
      <c r="AE182" s="22">
        <v>6.0</v>
      </c>
      <c r="AF182" s="23" t="s">
        <v>120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51</v>
      </c>
      <c r="D183" s="39" t="s">
        <v>22</v>
      </c>
      <c r="E183" s="45" t="s">
        <v>85</v>
      </c>
      <c r="F183" s="45">
        <v>3.0</v>
      </c>
      <c r="G183" s="93" t="s">
        <v>24</v>
      </c>
      <c r="H183" s="45">
        <v>2.0</v>
      </c>
      <c r="I183" s="45" t="s">
        <v>31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107" t="s">
        <v>169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4"/>
      <c r="X183" s="64"/>
      <c r="Y183" s="64"/>
      <c r="Z183" s="64"/>
      <c r="AA183" s="64"/>
      <c r="AB183" s="64"/>
      <c r="AC183" s="64"/>
      <c r="AD183" s="64"/>
      <c r="AE183" s="22">
        <v>7.0</v>
      </c>
      <c r="AF183" s="23" t="s">
        <v>31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55</v>
      </c>
      <c r="D184" s="39" t="s">
        <v>22</v>
      </c>
      <c r="E184" s="45" t="s">
        <v>42</v>
      </c>
      <c r="F184" s="45">
        <v>3.0</v>
      </c>
      <c r="G184" s="93" t="s">
        <v>24</v>
      </c>
      <c r="H184" s="45">
        <v>2.0</v>
      </c>
      <c r="I184" s="45" t="s">
        <v>120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107" t="s">
        <v>139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4"/>
      <c r="X184" s="64"/>
      <c r="Y184" s="64"/>
      <c r="Z184" s="64"/>
      <c r="AA184" s="64"/>
      <c r="AB184" s="64"/>
      <c r="AC184" s="64"/>
      <c r="AD184" s="64"/>
      <c r="AE184" s="22">
        <v>8.0</v>
      </c>
      <c r="AF184" s="23" t="s">
        <v>58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52</v>
      </c>
      <c r="D185" s="39" t="s">
        <v>22</v>
      </c>
      <c r="E185" s="45" t="s">
        <v>139</v>
      </c>
      <c r="F185" s="45">
        <v>7.0</v>
      </c>
      <c r="G185" s="93" t="s">
        <v>24</v>
      </c>
      <c r="H185" s="45">
        <v>0.0</v>
      </c>
      <c r="I185" s="45" t="s">
        <v>37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107" t="s">
        <v>42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4"/>
      <c r="X185" s="64"/>
      <c r="Y185" s="64"/>
      <c r="Z185" s="64"/>
      <c r="AA185" s="64"/>
      <c r="AB185" s="64"/>
      <c r="AC185" s="64"/>
      <c r="AD185" s="64"/>
      <c r="AE185" s="22">
        <v>9.0</v>
      </c>
      <c r="AF185" s="23" t="s">
        <v>64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53</v>
      </c>
      <c r="D186" s="39" t="s">
        <v>22</v>
      </c>
      <c r="E186" s="45" t="s">
        <v>169</v>
      </c>
      <c r="F186" s="45">
        <v>13.0</v>
      </c>
      <c r="G186" s="93" t="s">
        <v>24</v>
      </c>
      <c r="H186" s="45">
        <v>0.0</v>
      </c>
      <c r="I186" s="45" t="s">
        <v>64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107" t="s">
        <v>85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4"/>
      <c r="X186" s="64"/>
      <c r="Y186" s="64"/>
      <c r="Z186" s="64"/>
      <c r="AA186" s="64"/>
      <c r="AB186" s="64"/>
      <c r="AC186" s="64"/>
      <c r="AD186" s="64"/>
      <c r="AE186" s="22">
        <v>10.0</v>
      </c>
      <c r="AF186" s="23" t="s">
        <v>37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126">
        <v>45965.0</v>
      </c>
      <c r="C187" s="39" t="s">
        <v>49</v>
      </c>
      <c r="D187" s="39" t="s">
        <v>22</v>
      </c>
      <c r="E187" s="45" t="s">
        <v>120</v>
      </c>
      <c r="F187" s="45">
        <v>0.0</v>
      </c>
      <c r="G187" s="93" t="s">
        <v>24</v>
      </c>
      <c r="H187" s="45">
        <v>2.0</v>
      </c>
      <c r="I187" s="45" t="s">
        <v>39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4"/>
      <c r="X187" s="64"/>
      <c r="Y187" s="64"/>
      <c r="Z187" s="64"/>
      <c r="AA187" s="64"/>
      <c r="AB187" s="64"/>
      <c r="AC187" s="64"/>
      <c r="AD187" s="64"/>
      <c r="AE187" s="35" t="s">
        <v>170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126">
        <v>45965.0</v>
      </c>
      <c r="C188" s="39" t="s">
        <v>21</v>
      </c>
      <c r="D188" s="39" t="s">
        <v>22</v>
      </c>
      <c r="E188" s="45" t="s">
        <v>58</v>
      </c>
      <c r="F188" s="45">
        <v>2.0</v>
      </c>
      <c r="G188" s="93" t="s">
        <v>24</v>
      </c>
      <c r="H188" s="45">
        <v>2.0</v>
      </c>
      <c r="I188" s="45" t="s">
        <v>31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4"/>
      <c r="X188" s="64"/>
      <c r="Y188" s="64"/>
      <c r="Z188" s="64"/>
      <c r="AA188" s="64"/>
      <c r="AB188" s="64"/>
      <c r="AC188" s="64"/>
      <c r="AD188" s="64"/>
      <c r="AE188" s="80" t="s">
        <v>159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126">
        <v>45966.0</v>
      </c>
      <c r="C189" s="39" t="s">
        <v>77</v>
      </c>
      <c r="D189" s="12" t="s">
        <v>78</v>
      </c>
      <c r="E189" s="45" t="s">
        <v>37</v>
      </c>
      <c r="F189" s="45">
        <v>1.0</v>
      </c>
      <c r="G189" s="93" t="s">
        <v>24</v>
      </c>
      <c r="H189" s="45">
        <v>9.0</v>
      </c>
      <c r="I189" s="45" t="s">
        <v>42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4"/>
      <c r="X189" s="64"/>
      <c r="Y189" s="64"/>
      <c r="Z189" s="64"/>
      <c r="AA189" s="64"/>
      <c r="AB189" s="64"/>
      <c r="AC189" s="64"/>
      <c r="AD189" s="64"/>
      <c r="AJ189" s="4"/>
      <c r="AK189" s="4"/>
      <c r="AL189" s="4"/>
      <c r="AM189" s="4"/>
      <c r="AN189" s="4"/>
    </row>
    <row r="190" ht="15.75" customHeight="1">
      <c r="A190" s="25"/>
      <c r="B190" s="126">
        <v>45964.0</v>
      </c>
      <c r="C190" s="39" t="s">
        <v>35</v>
      </c>
      <c r="D190" s="12" t="s">
        <v>78</v>
      </c>
      <c r="E190" s="45" t="s">
        <v>64</v>
      </c>
      <c r="F190" s="45">
        <v>1.0</v>
      </c>
      <c r="G190" s="93" t="s">
        <v>24</v>
      </c>
      <c r="H190" s="45">
        <v>6.0</v>
      </c>
      <c r="I190" s="45" t="s">
        <v>139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4"/>
      <c r="X190" s="64"/>
      <c r="Y190" s="64"/>
      <c r="Z190" s="64"/>
      <c r="AA190" s="64"/>
      <c r="AB190" s="64"/>
      <c r="AC190" s="64"/>
      <c r="AD190" s="64"/>
      <c r="AJ190" s="4"/>
      <c r="AK190" s="4"/>
      <c r="AL190" s="4"/>
      <c r="AM190" s="4"/>
      <c r="AN190" s="4"/>
    </row>
    <row r="191" ht="15.75" customHeight="1">
      <c r="A191" s="25"/>
      <c r="B191" s="126">
        <v>45966.0</v>
      </c>
      <c r="C191" s="39" t="s">
        <v>128</v>
      </c>
      <c r="D191" s="12" t="s">
        <v>78</v>
      </c>
      <c r="E191" s="45" t="s">
        <v>85</v>
      </c>
      <c r="F191" s="45">
        <v>1.0</v>
      </c>
      <c r="G191" s="93" t="s">
        <v>24</v>
      </c>
      <c r="H191" s="45">
        <v>2.0</v>
      </c>
      <c r="I191" s="45" t="s">
        <v>169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4"/>
      <c r="X191" s="64"/>
      <c r="Y191" s="64"/>
      <c r="Z191" s="64"/>
      <c r="AA191" s="64"/>
      <c r="AB191" s="64"/>
      <c r="AC191" s="64"/>
      <c r="AD191" s="64"/>
      <c r="AE191" s="131" t="s">
        <v>98</v>
      </c>
      <c r="AF191" s="83"/>
      <c r="AG191" s="83"/>
      <c r="AH191" s="83"/>
      <c r="AI191" s="83"/>
      <c r="AJ191" s="83"/>
      <c r="AK191" s="83"/>
      <c r="AL191" s="83"/>
      <c r="AM191" s="84"/>
      <c r="AN191" s="4"/>
    </row>
    <row r="192" ht="15.75" customHeight="1">
      <c r="A192" s="10">
        <v>4.0</v>
      </c>
      <c r="B192" s="11">
        <v>46065.0</v>
      </c>
      <c r="C192" s="39" t="s">
        <v>49</v>
      </c>
      <c r="D192" s="39" t="s">
        <v>22</v>
      </c>
      <c r="E192" s="45" t="s">
        <v>39</v>
      </c>
      <c r="F192" s="45">
        <v>24.0</v>
      </c>
      <c r="G192" s="93" t="s">
        <v>24</v>
      </c>
      <c r="H192" s="45">
        <v>1.0</v>
      </c>
      <c r="I192" s="45" t="s">
        <v>37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4"/>
      <c r="R192" s="4"/>
      <c r="S192" s="4"/>
      <c r="T192" s="4"/>
      <c r="U192" s="4"/>
      <c r="V192" s="4"/>
      <c r="W192" s="64"/>
      <c r="X192" s="64"/>
      <c r="Y192" s="64"/>
      <c r="Z192" s="64"/>
      <c r="AA192" s="64"/>
      <c r="AB192" s="64"/>
      <c r="AC192" s="64"/>
      <c r="AD192" s="64"/>
      <c r="AE192" s="85"/>
      <c r="AF192" s="86"/>
      <c r="AG192" s="86"/>
      <c r="AH192" s="86"/>
      <c r="AI192" s="86"/>
      <c r="AJ192" s="86"/>
      <c r="AK192" s="86"/>
      <c r="AL192" s="86"/>
      <c r="AM192" s="87"/>
      <c r="AN192" s="37"/>
    </row>
    <row r="193" ht="15.75" customHeight="1">
      <c r="A193" s="25"/>
      <c r="B193" s="11">
        <v>46065.0</v>
      </c>
      <c r="C193" s="12" t="s">
        <v>52</v>
      </c>
      <c r="D193" s="12" t="s">
        <v>78</v>
      </c>
      <c r="E193" s="45" t="s">
        <v>31</v>
      </c>
      <c r="F193" s="45">
        <v>3.0</v>
      </c>
      <c r="G193" s="93" t="s">
        <v>24</v>
      </c>
      <c r="H193" s="45">
        <v>3.0</v>
      </c>
      <c r="I193" s="45" t="s">
        <v>120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4"/>
      <c r="X193" s="64"/>
      <c r="Y193" s="64"/>
      <c r="Z193" s="64"/>
      <c r="AA193" s="64"/>
      <c r="AB193" s="64"/>
      <c r="AC193" s="64"/>
      <c r="AD193" s="64"/>
      <c r="AE193" s="5" t="s">
        <v>11</v>
      </c>
      <c r="AF193" s="5" t="s">
        <v>12</v>
      </c>
      <c r="AG193" s="5" t="s">
        <v>13</v>
      </c>
      <c r="AH193" s="5" t="s">
        <v>14</v>
      </c>
      <c r="AI193" s="5" t="s">
        <v>15</v>
      </c>
      <c r="AJ193" s="5" t="s">
        <v>16</v>
      </c>
      <c r="AK193" s="5" t="s">
        <v>17</v>
      </c>
      <c r="AL193" s="5" t="s">
        <v>18</v>
      </c>
      <c r="AM193" s="5" t="s">
        <v>19</v>
      </c>
      <c r="AN193" s="4"/>
    </row>
    <row r="194" ht="15.75" customHeight="1">
      <c r="A194" s="25"/>
      <c r="B194" s="11">
        <v>46065.0</v>
      </c>
      <c r="C194" s="12" t="s">
        <v>53</v>
      </c>
      <c r="D194" s="12" t="s">
        <v>78</v>
      </c>
      <c r="E194" s="45" t="s">
        <v>58</v>
      </c>
      <c r="F194" s="45">
        <v>4.0</v>
      </c>
      <c r="G194" s="93" t="s">
        <v>24</v>
      </c>
      <c r="H194" s="45">
        <v>5.0</v>
      </c>
      <c r="I194" s="45" t="s">
        <v>85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4"/>
      <c r="X194" s="64"/>
      <c r="Y194" s="64"/>
      <c r="Z194" s="64"/>
      <c r="AA194" s="64"/>
      <c r="AB194" s="64"/>
      <c r="AC194" s="64"/>
      <c r="AD194" s="64"/>
      <c r="AE194" s="46" t="s">
        <v>29</v>
      </c>
      <c r="AF194" s="23" t="s">
        <v>39</v>
      </c>
      <c r="AG194" s="23">
        <v>21.0</v>
      </c>
      <c r="AH194" s="23">
        <v>6.0</v>
      </c>
      <c r="AI194" s="23">
        <v>3.0</v>
      </c>
      <c r="AJ194" s="23">
        <v>0.0</v>
      </c>
      <c r="AK194" s="23">
        <v>56.0</v>
      </c>
      <c r="AL194" s="23">
        <v>16.0</v>
      </c>
      <c r="AM194" s="23">
        <v>40.0</v>
      </c>
      <c r="AN194" s="4"/>
    </row>
    <row r="195" ht="15.75" customHeight="1">
      <c r="A195" s="25"/>
      <c r="B195" s="11">
        <v>46064.0</v>
      </c>
      <c r="C195" s="12" t="s">
        <v>53</v>
      </c>
      <c r="D195" s="12" t="s">
        <v>78</v>
      </c>
      <c r="E195" s="45" t="s">
        <v>42</v>
      </c>
      <c r="F195" s="45">
        <v>10.0</v>
      </c>
      <c r="G195" s="93" t="s">
        <v>24</v>
      </c>
      <c r="H195" s="45">
        <v>3.0</v>
      </c>
      <c r="I195" s="45" t="s">
        <v>64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4"/>
      <c r="X195" s="64"/>
      <c r="Y195" s="64"/>
      <c r="Z195" s="64"/>
      <c r="AA195" s="64"/>
      <c r="AB195" s="64"/>
      <c r="AC195" s="64"/>
      <c r="AD195" s="64"/>
      <c r="AE195" s="124" t="s">
        <v>106</v>
      </c>
      <c r="AF195" s="23" t="s">
        <v>42</v>
      </c>
      <c r="AG195" s="23">
        <v>20.0</v>
      </c>
      <c r="AH195" s="23">
        <v>6.0</v>
      </c>
      <c r="AI195" s="23">
        <v>2.0</v>
      </c>
      <c r="AJ195" s="23">
        <v>1.0</v>
      </c>
      <c r="AK195" s="23">
        <v>49.0</v>
      </c>
      <c r="AL195" s="23">
        <v>24.0</v>
      </c>
      <c r="AM195" s="23">
        <v>25.0</v>
      </c>
      <c r="AN195" s="4"/>
    </row>
    <row r="196" ht="15.75" customHeight="1">
      <c r="A196" s="25"/>
      <c r="B196" s="11">
        <v>46065.0</v>
      </c>
      <c r="C196" s="12" t="s">
        <v>55</v>
      </c>
      <c r="D196" s="12" t="s">
        <v>78</v>
      </c>
      <c r="E196" s="45" t="s">
        <v>139</v>
      </c>
      <c r="F196" s="45">
        <v>5.0</v>
      </c>
      <c r="G196" s="93" t="s">
        <v>24</v>
      </c>
      <c r="H196" s="45">
        <v>2.0</v>
      </c>
      <c r="I196" s="45" t="s">
        <v>169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4"/>
      <c r="X196" s="64"/>
      <c r="Y196" s="64"/>
      <c r="Z196" s="64"/>
      <c r="AA196" s="64"/>
      <c r="AB196" s="64"/>
      <c r="AC196" s="64"/>
      <c r="AD196" s="64"/>
      <c r="AE196" s="22">
        <v>3.0</v>
      </c>
      <c r="AF196" s="23" t="s">
        <v>139</v>
      </c>
      <c r="AG196" s="23">
        <v>16.0</v>
      </c>
      <c r="AH196" s="23">
        <v>5.0</v>
      </c>
      <c r="AI196" s="23">
        <v>1.0</v>
      </c>
      <c r="AJ196" s="23">
        <v>3.0</v>
      </c>
      <c r="AK196" s="23">
        <v>35.0</v>
      </c>
      <c r="AL196" s="23">
        <v>25.0</v>
      </c>
      <c r="AM196" s="23">
        <v>10.0</v>
      </c>
      <c r="AN196" s="4"/>
    </row>
    <row r="197" ht="15.75" customHeight="1">
      <c r="A197" s="10">
        <v>5.0</v>
      </c>
      <c r="B197" s="11">
        <v>46077.0</v>
      </c>
      <c r="C197" s="12" t="s">
        <v>53</v>
      </c>
      <c r="D197" s="12" t="s">
        <v>78</v>
      </c>
      <c r="E197" s="45" t="s">
        <v>64</v>
      </c>
      <c r="F197" s="45">
        <v>2.0</v>
      </c>
      <c r="G197" s="93" t="s">
        <v>24</v>
      </c>
      <c r="H197" s="45">
        <v>5.0</v>
      </c>
      <c r="I197" s="45" t="s">
        <v>39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4"/>
      <c r="X197" s="64"/>
      <c r="Y197" s="64"/>
      <c r="Z197" s="64"/>
      <c r="AA197" s="64"/>
      <c r="AB197" s="64"/>
      <c r="AC197" s="64"/>
      <c r="AD197" s="64"/>
      <c r="AE197" s="22">
        <v>4.0</v>
      </c>
      <c r="AF197" s="23" t="s">
        <v>85</v>
      </c>
      <c r="AG197" s="23">
        <v>16.0</v>
      </c>
      <c r="AH197" s="23">
        <v>5.0</v>
      </c>
      <c r="AI197" s="23">
        <v>1.0</v>
      </c>
      <c r="AJ197" s="23">
        <v>3.0</v>
      </c>
      <c r="AK197" s="23">
        <v>37.0</v>
      </c>
      <c r="AL197" s="23">
        <v>21.0</v>
      </c>
      <c r="AM197" s="23">
        <v>16.0</v>
      </c>
      <c r="AN197" s="4"/>
    </row>
    <row r="198" ht="15.75" customHeight="1">
      <c r="A198" s="25"/>
      <c r="B198" s="11">
        <v>46078.0</v>
      </c>
      <c r="C198" s="12" t="s">
        <v>55</v>
      </c>
      <c r="D198" s="12" t="s">
        <v>78</v>
      </c>
      <c r="E198" s="45" t="s">
        <v>37</v>
      </c>
      <c r="F198" s="45">
        <v>2.0</v>
      </c>
      <c r="G198" s="93" t="s">
        <v>24</v>
      </c>
      <c r="H198" s="45">
        <v>6.0</v>
      </c>
      <c r="I198" s="45" t="s">
        <v>31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22">
        <v>5.0</v>
      </c>
      <c r="AF198" s="23" t="s">
        <v>169</v>
      </c>
      <c r="AG198" s="23">
        <v>16.0</v>
      </c>
      <c r="AH198" s="23">
        <v>5.0</v>
      </c>
      <c r="AI198" s="23">
        <v>1.0</v>
      </c>
      <c r="AJ198" s="23">
        <v>3.0</v>
      </c>
      <c r="AK198" s="23">
        <v>38.0</v>
      </c>
      <c r="AL198" s="23">
        <v>21.0</v>
      </c>
      <c r="AM198" s="23">
        <v>17.0</v>
      </c>
      <c r="AN198" s="4"/>
    </row>
    <row r="199" ht="15.75" customHeight="1">
      <c r="A199" s="25"/>
      <c r="B199" s="11">
        <v>46078.0</v>
      </c>
      <c r="C199" s="39" t="s">
        <v>52</v>
      </c>
      <c r="D199" s="12" t="s">
        <v>78</v>
      </c>
      <c r="E199" s="45" t="s">
        <v>120</v>
      </c>
      <c r="F199" s="45">
        <v>3.0</v>
      </c>
      <c r="G199" s="93" t="s">
        <v>24</v>
      </c>
      <c r="H199" s="45">
        <v>2.0</v>
      </c>
      <c r="I199" s="45" t="s">
        <v>58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22">
        <v>6.0</v>
      </c>
      <c r="AF199" s="23" t="s">
        <v>120</v>
      </c>
      <c r="AG199" s="23">
        <v>14.0</v>
      </c>
      <c r="AH199" s="23">
        <v>4.0</v>
      </c>
      <c r="AI199" s="23">
        <v>2.0</v>
      </c>
      <c r="AJ199" s="23">
        <v>3.0</v>
      </c>
      <c r="AK199" s="23">
        <v>21.0</v>
      </c>
      <c r="AL199" s="23">
        <v>19.0</v>
      </c>
      <c r="AM199" s="23">
        <v>2.0</v>
      </c>
      <c r="AN199" s="4"/>
    </row>
    <row r="200" ht="15.75" customHeight="1">
      <c r="A200" s="25"/>
      <c r="B200" s="11">
        <v>46078.0</v>
      </c>
      <c r="C200" s="12" t="s">
        <v>53</v>
      </c>
      <c r="D200" s="12" t="s">
        <v>78</v>
      </c>
      <c r="E200" s="45" t="s">
        <v>169</v>
      </c>
      <c r="F200" s="45">
        <v>5.0</v>
      </c>
      <c r="G200" s="93" t="s">
        <v>24</v>
      </c>
      <c r="H200" s="45">
        <v>3.0</v>
      </c>
      <c r="I200" s="45" t="s">
        <v>42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22">
        <v>7.0</v>
      </c>
      <c r="AF200" s="23" t="s">
        <v>31</v>
      </c>
      <c r="AG200" s="23">
        <v>11.0</v>
      </c>
      <c r="AH200" s="23">
        <v>3.0</v>
      </c>
      <c r="AI200" s="23">
        <v>2.0</v>
      </c>
      <c r="AJ200" s="23">
        <v>4.0</v>
      </c>
      <c r="AK200" s="23">
        <v>25.0</v>
      </c>
      <c r="AL200" s="23">
        <v>30.0</v>
      </c>
      <c r="AM200" s="23">
        <v>-5.0</v>
      </c>
      <c r="AN200" s="4"/>
    </row>
    <row r="201" ht="15.75" customHeight="1">
      <c r="A201" s="25"/>
      <c r="B201" s="11">
        <v>46079.0</v>
      </c>
      <c r="C201" s="12" t="s">
        <v>55</v>
      </c>
      <c r="D201" s="12" t="s">
        <v>78</v>
      </c>
      <c r="E201" s="45" t="s">
        <v>85</v>
      </c>
      <c r="F201" s="45">
        <v>2.0</v>
      </c>
      <c r="G201" s="93" t="s">
        <v>24</v>
      </c>
      <c r="H201" s="45">
        <v>0.0</v>
      </c>
      <c r="I201" s="45" t="s">
        <v>139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22">
        <v>8.0</v>
      </c>
      <c r="AF201" s="23" t="s">
        <v>58</v>
      </c>
      <c r="AG201" s="23">
        <v>8.0</v>
      </c>
      <c r="AH201" s="23">
        <v>2.0</v>
      </c>
      <c r="AI201" s="23">
        <v>2.0</v>
      </c>
      <c r="AJ201" s="23">
        <v>5.0</v>
      </c>
      <c r="AK201" s="23">
        <v>27.0</v>
      </c>
      <c r="AL201" s="23">
        <v>34.0</v>
      </c>
      <c r="AM201" s="23">
        <v>-7.0</v>
      </c>
      <c r="AN201" s="4"/>
    </row>
    <row r="202" ht="15.75" customHeight="1">
      <c r="A202" s="10">
        <v>6.0</v>
      </c>
      <c r="B202" s="11">
        <v>46090.0</v>
      </c>
      <c r="C202" s="12" t="s">
        <v>55</v>
      </c>
      <c r="D202" s="12" t="s">
        <v>78</v>
      </c>
      <c r="E202" s="45" t="s">
        <v>39</v>
      </c>
      <c r="F202" s="45">
        <v>3.0</v>
      </c>
      <c r="G202" s="93" t="s">
        <v>24</v>
      </c>
      <c r="H202" s="45">
        <v>3.0</v>
      </c>
      <c r="I202" s="45" t="s">
        <v>169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22">
        <v>9.0</v>
      </c>
      <c r="AF202" s="23" t="s">
        <v>64</v>
      </c>
      <c r="AG202" s="23">
        <v>6.0</v>
      </c>
      <c r="AH202" s="23">
        <v>2.0</v>
      </c>
      <c r="AI202" s="23">
        <v>0.0</v>
      </c>
      <c r="AJ202" s="23">
        <v>7.0</v>
      </c>
      <c r="AK202" s="23">
        <v>25.0</v>
      </c>
      <c r="AL202" s="23">
        <v>55.0</v>
      </c>
      <c r="AM202" s="23">
        <v>-30.0</v>
      </c>
      <c r="AN202" s="4"/>
    </row>
    <row r="203" ht="15.75" customHeight="1">
      <c r="A203" s="25"/>
      <c r="B203" s="11">
        <v>46090.0</v>
      </c>
      <c r="C203" s="39" t="s">
        <v>52</v>
      </c>
      <c r="D203" s="12" t="s">
        <v>78</v>
      </c>
      <c r="E203" s="45" t="s">
        <v>31</v>
      </c>
      <c r="F203" s="45">
        <v>4.0</v>
      </c>
      <c r="G203" s="93" t="s">
        <v>24</v>
      </c>
      <c r="H203" s="45">
        <v>1.0</v>
      </c>
      <c r="I203" s="45" t="s">
        <v>64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22">
        <v>10.0</v>
      </c>
      <c r="AF203" s="23" t="s">
        <v>37</v>
      </c>
      <c r="AG203" s="23">
        <v>0.0</v>
      </c>
      <c r="AH203" s="23">
        <v>0.0</v>
      </c>
      <c r="AI203" s="23">
        <v>0.0</v>
      </c>
      <c r="AJ203" s="23">
        <v>9.0</v>
      </c>
      <c r="AK203" s="23">
        <v>15.0</v>
      </c>
      <c r="AL203" s="23">
        <v>83.0</v>
      </c>
      <c r="AM203" s="23">
        <v>-68.0</v>
      </c>
      <c r="AN203" s="4"/>
    </row>
    <row r="204" ht="15.75" customHeight="1">
      <c r="A204" s="25"/>
      <c r="B204" s="11">
        <v>46090.0</v>
      </c>
      <c r="C204" s="12" t="s">
        <v>53</v>
      </c>
      <c r="D204" s="12" t="s">
        <v>78</v>
      </c>
      <c r="E204" s="45" t="s">
        <v>58</v>
      </c>
      <c r="F204" s="45">
        <v>3.0</v>
      </c>
      <c r="G204" s="93" t="s">
        <v>24</v>
      </c>
      <c r="H204" s="45">
        <v>2.0</v>
      </c>
      <c r="I204" s="45" t="s">
        <v>37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35" t="s">
        <v>171</v>
      </c>
      <c r="AH204" s="18"/>
      <c r="AI204" s="18"/>
      <c r="AJ204" s="18"/>
      <c r="AK204" s="18"/>
      <c r="AL204" s="18"/>
      <c r="AM204" s="18"/>
      <c r="AN204" s="4"/>
    </row>
    <row r="205" ht="15.75" customHeight="1">
      <c r="A205" s="25"/>
      <c r="B205" s="11">
        <v>46085.0</v>
      </c>
      <c r="C205" s="12" t="s">
        <v>113</v>
      </c>
      <c r="D205" s="39" t="s">
        <v>22</v>
      </c>
      <c r="E205" s="45" t="s">
        <v>120</v>
      </c>
      <c r="F205" s="45">
        <v>2.0</v>
      </c>
      <c r="G205" s="93" t="s">
        <v>24</v>
      </c>
      <c r="H205" s="45">
        <v>4.0</v>
      </c>
      <c r="I205" s="45" t="s">
        <v>85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80" t="s">
        <v>159</v>
      </c>
      <c r="AH205" s="18"/>
      <c r="AI205" s="18"/>
      <c r="AJ205" s="18"/>
      <c r="AK205" s="18"/>
      <c r="AL205" s="18"/>
      <c r="AM205" s="18"/>
      <c r="AN205" s="4"/>
    </row>
    <row r="206" ht="15.75" customHeight="1">
      <c r="A206" s="25"/>
      <c r="B206" s="11">
        <v>46085.0</v>
      </c>
      <c r="C206" s="12" t="s">
        <v>116</v>
      </c>
      <c r="D206" s="39" t="s">
        <v>22</v>
      </c>
      <c r="E206" s="45" t="s">
        <v>42</v>
      </c>
      <c r="F206" s="45">
        <v>8.0</v>
      </c>
      <c r="G206" s="93" t="s">
        <v>24</v>
      </c>
      <c r="H206" s="45">
        <v>3.0</v>
      </c>
      <c r="I206" s="45" t="s">
        <v>139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4"/>
      <c r="AF206" s="4"/>
      <c r="AG206" s="4"/>
      <c r="AH206" s="37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30</v>
      </c>
      <c r="D207" s="39" t="s">
        <v>22</v>
      </c>
      <c r="E207" s="45" t="s">
        <v>139</v>
      </c>
      <c r="F207" s="45">
        <v>0.0</v>
      </c>
      <c r="G207" s="93" t="s">
        <v>24</v>
      </c>
      <c r="H207" s="45">
        <v>5.0</v>
      </c>
      <c r="I207" s="45" t="s">
        <v>39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4"/>
      <c r="AG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35</v>
      </c>
      <c r="D208" s="39" t="s">
        <v>22</v>
      </c>
      <c r="E208" s="45" t="s">
        <v>169</v>
      </c>
      <c r="F208" s="45">
        <v>2.0</v>
      </c>
      <c r="G208" s="93" t="s">
        <v>24</v>
      </c>
      <c r="H208" s="45">
        <v>3.0</v>
      </c>
      <c r="I208" s="45" t="s">
        <v>31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G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55</v>
      </c>
      <c r="D209" s="12" t="s">
        <v>78</v>
      </c>
      <c r="E209" s="45" t="s">
        <v>64</v>
      </c>
      <c r="F209" s="45">
        <v>3.0</v>
      </c>
      <c r="G209" s="93" t="s">
        <v>24</v>
      </c>
      <c r="H209" s="45">
        <v>7.0</v>
      </c>
      <c r="I209" s="45" t="s">
        <v>58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G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52</v>
      </c>
      <c r="D210" s="12" t="s">
        <v>78</v>
      </c>
      <c r="E210" s="45" t="s">
        <v>37</v>
      </c>
      <c r="F210" s="45">
        <v>0.0</v>
      </c>
      <c r="G210" s="93" t="s">
        <v>24</v>
      </c>
      <c r="H210" s="45">
        <v>3.0</v>
      </c>
      <c r="I210" s="45" t="s">
        <v>120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G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53</v>
      </c>
      <c r="D211" s="12" t="s">
        <v>78</v>
      </c>
      <c r="E211" s="45" t="s">
        <v>85</v>
      </c>
      <c r="F211" s="45">
        <v>2.0</v>
      </c>
      <c r="G211" s="93" t="s">
        <v>24</v>
      </c>
      <c r="H211" s="45">
        <v>4.0</v>
      </c>
      <c r="I211" s="45" t="s">
        <v>42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G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30</v>
      </c>
      <c r="D212" s="39" t="s">
        <v>22</v>
      </c>
      <c r="E212" s="45" t="s">
        <v>39</v>
      </c>
      <c r="F212" s="45">
        <v>5.0</v>
      </c>
      <c r="G212" s="93" t="s">
        <v>24</v>
      </c>
      <c r="H212" s="45">
        <v>5.0</v>
      </c>
      <c r="I212" s="45" t="s">
        <v>42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4"/>
      <c r="X212" s="64"/>
      <c r="Y212" s="64"/>
      <c r="Z212" s="64"/>
      <c r="AA212" s="64"/>
      <c r="AB212" s="64"/>
      <c r="AC212" s="64"/>
      <c r="AD212" s="64"/>
      <c r="AE212" s="4"/>
      <c r="AF212" s="4"/>
      <c r="AG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35</v>
      </c>
      <c r="D213" s="39" t="s">
        <v>22</v>
      </c>
      <c r="E213" s="45" t="s">
        <v>31</v>
      </c>
      <c r="F213" s="45">
        <v>2.0</v>
      </c>
      <c r="G213" s="93" t="s">
        <v>24</v>
      </c>
      <c r="H213" s="45">
        <v>8.0</v>
      </c>
      <c r="I213" s="45" t="s">
        <v>139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4"/>
      <c r="X213" s="64"/>
      <c r="Y213" s="64"/>
      <c r="Z213" s="64"/>
      <c r="AA213" s="64"/>
      <c r="AB213" s="64"/>
      <c r="AC213" s="64"/>
      <c r="AD213" s="64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55</v>
      </c>
      <c r="D214" s="12" t="s">
        <v>78</v>
      </c>
      <c r="E214" s="45" t="s">
        <v>58</v>
      </c>
      <c r="F214" s="45">
        <v>2.0</v>
      </c>
      <c r="G214" s="93" t="s">
        <v>24</v>
      </c>
      <c r="H214" s="45">
        <v>6.0</v>
      </c>
      <c r="I214" s="45" t="s">
        <v>169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4"/>
      <c r="X214" s="64"/>
      <c r="Y214" s="64"/>
      <c r="Z214" s="64"/>
      <c r="AA214" s="64"/>
      <c r="AB214" s="64"/>
      <c r="AC214" s="64"/>
      <c r="AD214" s="64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52</v>
      </c>
      <c r="D215" s="12" t="s">
        <v>78</v>
      </c>
      <c r="E215" s="45" t="s">
        <v>120</v>
      </c>
      <c r="F215" s="45">
        <v>3.0</v>
      </c>
      <c r="G215" s="93" t="s">
        <v>24</v>
      </c>
      <c r="H215" s="45">
        <v>2.0</v>
      </c>
      <c r="I215" s="45" t="s">
        <v>64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4"/>
      <c r="X215" s="64"/>
      <c r="Y215" s="64"/>
      <c r="Z215" s="64"/>
      <c r="AA215" s="64"/>
      <c r="AB215" s="64"/>
      <c r="AC215" s="64"/>
      <c r="AD215" s="64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53</v>
      </c>
      <c r="D216" s="12" t="s">
        <v>78</v>
      </c>
      <c r="E216" s="45" t="s">
        <v>37</v>
      </c>
      <c r="F216" s="45">
        <v>3.0</v>
      </c>
      <c r="G216" s="93" t="s">
        <v>24</v>
      </c>
      <c r="H216" s="45">
        <v>17.0</v>
      </c>
      <c r="I216" s="45" t="s">
        <v>85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4"/>
      <c r="X216" s="64"/>
      <c r="Y216" s="64"/>
      <c r="Z216" s="64"/>
      <c r="AA216" s="64"/>
      <c r="AB216" s="64"/>
      <c r="AC216" s="64"/>
      <c r="AD216" s="64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53</v>
      </c>
      <c r="D217" s="12" t="s">
        <v>78</v>
      </c>
      <c r="E217" s="45" t="s">
        <v>85</v>
      </c>
      <c r="F217" s="45">
        <v>2.0</v>
      </c>
      <c r="G217" s="93" t="s">
        <v>24</v>
      </c>
      <c r="H217" s="45">
        <v>2.0</v>
      </c>
      <c r="I217" s="45" t="s">
        <v>39</v>
      </c>
      <c r="J217" s="64"/>
      <c r="K217" s="4">
        <f t="shared" si="29"/>
        <v>1</v>
      </c>
      <c r="L217" s="18">
        <f t="shared" si="30"/>
        <v>1</v>
      </c>
      <c r="M217" s="64"/>
      <c r="N217" s="64"/>
      <c r="O217" s="64"/>
      <c r="P217" s="64"/>
      <c r="Q217" s="64"/>
      <c r="R217" s="4"/>
      <c r="S217" s="4"/>
      <c r="T217" s="4"/>
      <c r="U217" s="4"/>
      <c r="V217" s="4"/>
      <c r="W217" s="64"/>
      <c r="X217" s="64"/>
      <c r="Y217" s="64"/>
      <c r="Z217" s="64"/>
      <c r="AA217" s="64"/>
      <c r="AB217" s="64"/>
      <c r="AC217" s="64"/>
      <c r="AD217" s="64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52</v>
      </c>
      <c r="D218" s="12" t="s">
        <v>78</v>
      </c>
      <c r="E218" s="45" t="s">
        <v>42</v>
      </c>
      <c r="F218" s="45">
        <v>5.0</v>
      </c>
      <c r="G218" s="93" t="s">
        <v>24</v>
      </c>
      <c r="H218" s="45">
        <v>1.0</v>
      </c>
      <c r="I218" s="45" t="s">
        <v>31</v>
      </c>
      <c r="J218" s="64"/>
      <c r="K218" s="4">
        <f t="shared" si="29"/>
        <v>3</v>
      </c>
      <c r="L218" s="18">
        <f t="shared" si="30"/>
        <v>0</v>
      </c>
      <c r="M218" s="64"/>
      <c r="N218" s="64"/>
      <c r="O218" s="64"/>
      <c r="P218" s="64"/>
      <c r="Q218" s="64"/>
      <c r="R218" s="4"/>
      <c r="S218" s="4"/>
      <c r="T218" s="4"/>
      <c r="U218" s="4"/>
      <c r="V218" s="4"/>
      <c r="W218" s="64"/>
      <c r="X218" s="64"/>
      <c r="Y218" s="64"/>
      <c r="Z218" s="64"/>
      <c r="AA218" s="64"/>
      <c r="AB218" s="64"/>
      <c r="AC218" s="64"/>
      <c r="AD218" s="64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53</v>
      </c>
      <c r="D219" s="12" t="s">
        <v>78</v>
      </c>
      <c r="E219" s="45" t="s">
        <v>139</v>
      </c>
      <c r="F219" s="45">
        <v>5.0</v>
      </c>
      <c r="G219" s="93" t="s">
        <v>24</v>
      </c>
      <c r="H219" s="45">
        <v>4.0</v>
      </c>
      <c r="I219" s="45" t="s">
        <v>58</v>
      </c>
      <c r="J219" s="64"/>
      <c r="K219" s="4">
        <f t="shared" si="29"/>
        <v>3</v>
      </c>
      <c r="L219" s="18">
        <f t="shared" si="30"/>
        <v>0</v>
      </c>
      <c r="M219" s="64"/>
      <c r="N219" s="64"/>
      <c r="O219" s="64"/>
      <c r="P219" s="64"/>
      <c r="Q219" s="64"/>
      <c r="R219" s="4"/>
      <c r="S219" s="4"/>
      <c r="T219" s="4"/>
      <c r="U219" s="4"/>
      <c r="V219" s="4"/>
      <c r="W219" s="64"/>
      <c r="X219" s="64"/>
      <c r="Y219" s="64"/>
      <c r="Z219" s="64"/>
      <c r="AA219" s="64"/>
      <c r="AB219" s="64"/>
      <c r="AC219" s="64"/>
      <c r="AD219" s="64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55</v>
      </c>
      <c r="D220" s="12" t="s">
        <v>78</v>
      </c>
      <c r="E220" s="45" t="s">
        <v>169</v>
      </c>
      <c r="F220" s="45">
        <v>2.0</v>
      </c>
      <c r="G220" s="93" t="s">
        <v>24</v>
      </c>
      <c r="H220" s="45">
        <v>4.0</v>
      </c>
      <c r="I220" s="17" t="s">
        <v>120</v>
      </c>
      <c r="J220" s="64"/>
      <c r="K220" s="4">
        <f t="shared" si="29"/>
        <v>0</v>
      </c>
      <c r="L220" s="18">
        <f t="shared" si="30"/>
        <v>3</v>
      </c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37"/>
    </row>
    <row r="221" ht="15.75" customHeight="1">
      <c r="A221" s="29"/>
      <c r="B221" s="11">
        <v>46133.0</v>
      </c>
      <c r="C221" s="12" t="s">
        <v>52</v>
      </c>
      <c r="D221" s="12" t="s">
        <v>78</v>
      </c>
      <c r="E221" s="45" t="s">
        <v>64</v>
      </c>
      <c r="F221" s="45">
        <v>11.0</v>
      </c>
      <c r="G221" s="93" t="s">
        <v>24</v>
      </c>
      <c r="H221" s="45">
        <v>6.0</v>
      </c>
      <c r="I221" s="45" t="s">
        <v>37</v>
      </c>
      <c r="J221" s="64"/>
      <c r="K221" s="4">
        <f t="shared" si="29"/>
        <v>3</v>
      </c>
      <c r="L221" s="18">
        <f t="shared" si="30"/>
        <v>0</v>
      </c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37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</row>
    <row r="226" ht="15.75" customHeight="1">
      <c r="A226" s="1" t="s">
        <v>172</v>
      </c>
      <c r="H226" s="2"/>
      <c r="I226" s="3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</row>
    <row r="228" ht="15.75" customHeight="1">
      <c r="A228" s="58" t="s">
        <v>73</v>
      </c>
      <c r="B228" s="44">
        <v>46163.0</v>
      </c>
      <c r="C228" s="12" t="s">
        <v>30</v>
      </c>
      <c r="D228" s="12" t="s">
        <v>22</v>
      </c>
      <c r="E228" s="45" t="s">
        <v>151</v>
      </c>
      <c r="F228" s="13" t="s">
        <v>173</v>
      </c>
      <c r="G228" s="16" t="s">
        <v>24</v>
      </c>
      <c r="H228" s="13" t="s">
        <v>174</v>
      </c>
      <c r="I228" s="45" t="s">
        <v>60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</row>
    <row r="229" ht="15.75" customHeight="1">
      <c r="A229" s="29"/>
      <c r="B229" s="44">
        <v>46163.0</v>
      </c>
      <c r="C229" s="12" t="s">
        <v>35</v>
      </c>
      <c r="D229" s="12" t="s">
        <v>22</v>
      </c>
      <c r="E229" s="45" t="s">
        <v>43</v>
      </c>
      <c r="F229" s="13">
        <v>2.0</v>
      </c>
      <c r="G229" s="16" t="s">
        <v>24</v>
      </c>
      <c r="H229" s="13">
        <v>1.0</v>
      </c>
      <c r="I229" s="45" t="s">
        <v>42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</row>
    <row r="230" ht="15.75" customHeight="1">
      <c r="A230" s="103" t="s">
        <v>79</v>
      </c>
      <c r="B230" s="60">
        <v>46167.0</v>
      </c>
      <c r="C230" s="12" t="s">
        <v>49</v>
      </c>
      <c r="D230" s="12" t="s">
        <v>22</v>
      </c>
      <c r="E230" s="45" t="s">
        <v>151</v>
      </c>
      <c r="F230" s="13">
        <v>1.0</v>
      </c>
      <c r="G230" s="16" t="s">
        <v>24</v>
      </c>
      <c r="H230" s="13">
        <v>2.0</v>
      </c>
      <c r="I230" s="45" t="s">
        <v>43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</row>
    <row r="235" ht="15.75" customHeight="1">
      <c r="A235" s="1" t="s">
        <v>175</v>
      </c>
      <c r="H235" s="2"/>
      <c r="I235" s="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</row>
    <row r="237" ht="15.75" customHeight="1">
      <c r="A237" s="58" t="s">
        <v>72</v>
      </c>
      <c r="B237" s="44">
        <v>46160.0</v>
      </c>
      <c r="C237" s="12" t="s">
        <v>49</v>
      </c>
      <c r="D237" s="12" t="s">
        <v>22</v>
      </c>
      <c r="E237" s="45" t="s">
        <v>33</v>
      </c>
      <c r="F237" s="13">
        <v>5.0</v>
      </c>
      <c r="G237" s="16" t="s">
        <v>24</v>
      </c>
      <c r="H237" s="13">
        <v>4.0</v>
      </c>
      <c r="I237" s="45" t="s">
        <v>39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</row>
    <row r="238" ht="15.75" customHeight="1">
      <c r="A238" s="25"/>
      <c r="B238" s="44">
        <v>46160.0</v>
      </c>
      <c r="C238" s="12" t="s">
        <v>21</v>
      </c>
      <c r="D238" s="12" t="s">
        <v>22</v>
      </c>
      <c r="E238" s="45" t="s">
        <v>150</v>
      </c>
      <c r="F238" s="13">
        <v>8.0</v>
      </c>
      <c r="G238" s="16" t="s">
        <v>24</v>
      </c>
      <c r="H238" s="13">
        <v>2.0</v>
      </c>
      <c r="I238" s="45" t="s">
        <v>122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</row>
    <row r="239" ht="15.75" customHeight="1">
      <c r="A239" s="25"/>
      <c r="B239" s="44">
        <v>46160.0</v>
      </c>
      <c r="C239" s="12" t="s">
        <v>30</v>
      </c>
      <c r="D239" s="12" t="s">
        <v>22</v>
      </c>
      <c r="E239" s="45" t="s">
        <v>25</v>
      </c>
      <c r="F239" s="13">
        <v>3.0</v>
      </c>
      <c r="G239" s="16" t="s">
        <v>24</v>
      </c>
      <c r="H239" s="13">
        <v>4.0</v>
      </c>
      <c r="I239" s="45" t="s">
        <v>32</v>
      </c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</row>
    <row r="240" ht="15.75" customHeight="1">
      <c r="A240" s="29"/>
      <c r="B240" s="44">
        <v>46160.0</v>
      </c>
      <c r="C240" s="12" t="s">
        <v>35</v>
      </c>
      <c r="D240" s="12" t="s">
        <v>22</v>
      </c>
      <c r="E240" s="45" t="s">
        <v>105</v>
      </c>
      <c r="F240" s="13" t="s">
        <v>176</v>
      </c>
      <c r="G240" s="16" t="s">
        <v>24</v>
      </c>
      <c r="H240" s="13" t="s">
        <v>177</v>
      </c>
      <c r="I240" s="45" t="s">
        <v>102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</row>
    <row r="241" ht="15.75" customHeight="1">
      <c r="A241" s="59" t="s">
        <v>73</v>
      </c>
      <c r="B241" s="60">
        <v>46167.0</v>
      </c>
      <c r="C241" s="12" t="s">
        <v>21</v>
      </c>
      <c r="D241" s="12" t="s">
        <v>22</v>
      </c>
      <c r="E241" s="45" t="s">
        <v>33</v>
      </c>
      <c r="F241" s="13">
        <v>2.0</v>
      </c>
      <c r="G241" s="16" t="s">
        <v>24</v>
      </c>
      <c r="H241" s="13">
        <v>0.0</v>
      </c>
      <c r="I241" s="45" t="s">
        <v>105</v>
      </c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</row>
    <row r="242" ht="15.75" customHeight="1">
      <c r="A242" s="25"/>
      <c r="B242" s="60">
        <v>46167.0</v>
      </c>
      <c r="C242" s="12" t="s">
        <v>30</v>
      </c>
      <c r="D242" s="12" t="s">
        <v>22</v>
      </c>
      <c r="E242" s="45" t="s">
        <v>150</v>
      </c>
      <c r="F242" s="13" t="s">
        <v>178</v>
      </c>
      <c r="G242" s="16" t="s">
        <v>24</v>
      </c>
      <c r="H242" s="13" t="s">
        <v>179</v>
      </c>
      <c r="I242" s="45" t="s">
        <v>32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</row>
    <row r="243" ht="15.75" customHeight="1">
      <c r="A243" s="61" t="s">
        <v>76</v>
      </c>
      <c r="B243" s="11">
        <v>46169.0</v>
      </c>
      <c r="C243" s="12" t="s">
        <v>128</v>
      </c>
      <c r="D243" s="12" t="s">
        <v>22</v>
      </c>
      <c r="E243" s="45" t="s">
        <v>105</v>
      </c>
      <c r="F243" s="13">
        <v>1.0</v>
      </c>
      <c r="G243" s="16" t="s">
        <v>24</v>
      </c>
      <c r="H243" s="13">
        <v>2.0</v>
      </c>
      <c r="I243" s="62" t="s">
        <v>32</v>
      </c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</row>
    <row r="244" ht="15.75" customHeight="1">
      <c r="A244" s="61" t="s">
        <v>79</v>
      </c>
      <c r="B244" s="11">
        <v>46175.0</v>
      </c>
      <c r="C244" s="12" t="s">
        <v>52</v>
      </c>
      <c r="D244" s="12" t="s">
        <v>78</v>
      </c>
      <c r="E244" s="45" t="s">
        <v>33</v>
      </c>
      <c r="F244" s="13">
        <v>6.0</v>
      </c>
      <c r="G244" s="16" t="s">
        <v>24</v>
      </c>
      <c r="H244" s="13">
        <v>7.0</v>
      </c>
      <c r="I244" s="45" t="s">
        <v>150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</row>
  </sheetData>
  <mergeCells count="85">
    <mergeCell ref="A85:A89"/>
    <mergeCell ref="A90:A94"/>
    <mergeCell ref="A95:A99"/>
    <mergeCell ref="A100:A104"/>
    <mergeCell ref="A105:A109"/>
    <mergeCell ref="A110:A114"/>
    <mergeCell ref="A115:A119"/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2:A196"/>
    <mergeCell ref="A197:A201"/>
    <mergeCell ref="A202:A206"/>
    <mergeCell ref="A212:A216"/>
    <mergeCell ref="AE205:AG205"/>
    <mergeCell ref="AE207:AF211"/>
    <mergeCell ref="AE152:AF156"/>
    <mergeCell ref="AH152:AI158"/>
    <mergeCell ref="AE187:AG187"/>
    <mergeCell ref="AE188:AG188"/>
    <mergeCell ref="AE191:AM192"/>
    <mergeCell ref="AE204:AG204"/>
    <mergeCell ref="AH206:AI212"/>
    <mergeCell ref="Y9:AC9"/>
    <mergeCell ref="AE15:AG15"/>
    <mergeCell ref="AH16:AI23"/>
    <mergeCell ref="AE17:AG24"/>
    <mergeCell ref="AE25:AG25"/>
    <mergeCell ref="AE28:AG28"/>
    <mergeCell ref="AE31:AG31"/>
    <mergeCell ref="AE34:AG34"/>
    <mergeCell ref="A1:G1"/>
    <mergeCell ref="AE1:AM1"/>
    <mergeCell ref="F2:H2"/>
    <mergeCell ref="Y2:Z2"/>
    <mergeCell ref="A3:A8"/>
    <mergeCell ref="A9:A14"/>
    <mergeCell ref="AE16:AG16"/>
    <mergeCell ref="A57:A62"/>
    <mergeCell ref="A63:A68"/>
    <mergeCell ref="A73:G73"/>
    <mergeCell ref="F74:H74"/>
    <mergeCell ref="A15:A20"/>
    <mergeCell ref="A21:A26"/>
    <mergeCell ref="A27:A32"/>
    <mergeCell ref="A33:A38"/>
    <mergeCell ref="A39:A44"/>
    <mergeCell ref="A45:A50"/>
    <mergeCell ref="A51:A56"/>
    <mergeCell ref="A207:A211"/>
    <mergeCell ref="A75:A79"/>
    <mergeCell ref="A80:A84"/>
    <mergeCell ref="AE84:AG84"/>
    <mergeCell ref="AE85:AG85"/>
    <mergeCell ref="AE88:AM89"/>
    <mergeCell ref="AE100:AG100"/>
    <mergeCell ref="AE101:AG101"/>
    <mergeCell ref="A124:G124"/>
    <mergeCell ref="F125:H125"/>
    <mergeCell ref="AE106:AF110"/>
    <mergeCell ref="AH106:AI112"/>
    <mergeCell ref="AE135:AG135"/>
    <mergeCell ref="AE136:AG136"/>
    <mergeCell ref="AE138:AM139"/>
    <mergeCell ref="AE150:AG150"/>
    <mergeCell ref="AE151:AG1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22.88"/>
    <col hidden="1" min="16" max="25" width="12.63"/>
    <col customWidth="1" min="27" max="27" width="17.7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3" t="s">
        <v>180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8" t="s">
        <v>11</v>
      </c>
      <c r="O2" s="18" t="s">
        <v>12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18" t="s">
        <v>19</v>
      </c>
      <c r="W2" s="2"/>
      <c r="X2" s="132" t="s">
        <v>20</v>
      </c>
      <c r="Y2" s="8"/>
      <c r="Z2" s="2"/>
      <c r="AA2" s="120" t="s">
        <v>148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55</v>
      </c>
      <c r="D3" s="12" t="s">
        <v>181</v>
      </c>
      <c r="E3" s="45" t="s">
        <v>105</v>
      </c>
      <c r="F3" s="17">
        <v>2.0</v>
      </c>
      <c r="G3" s="93" t="s">
        <v>24</v>
      </c>
      <c r="H3" s="133">
        <v>0.0</v>
      </c>
      <c r="I3" s="45" t="s">
        <v>58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21" t="s">
        <v>105</v>
      </c>
      <c r="P3" s="134">
        <f t="shared" ref="P3:P14" si="3">SUMIF(E$3:E$68,O3,K$3:K$68)+SUMIF(I$3:I$68,O3,L$3:L$68)</f>
        <v>21</v>
      </c>
      <c r="Q3" s="134">
        <f t="shared" ref="Q3:Q14" si="4">COUNTIFS(E$3:E$68,O3,K$3:K$68,3)+COUNTIFS(I$3:I$68,O3,L$3:L$68,3)</f>
        <v>7</v>
      </c>
      <c r="R3" s="134">
        <f t="shared" ref="R3:R14" si="5">COUNTIFS(E$3:E$68,O3,K$3:K$68,1)+COUNTIFS(I$3:I$68,O3,L$3:L$68,1)</f>
        <v>0</v>
      </c>
      <c r="S3" s="135">
        <f t="shared" ref="S3:S14" si="6">COUNTIFS(E$3:E$68,O3,K$3:K$68,0)+COUNTIFS(I$3:I$68,O3,L$3:L$68,0)</f>
        <v>3</v>
      </c>
      <c r="T3" s="134">
        <f t="shared" ref="T3:T14" si="7">SUMIF(E$3:E$68,O3,F$3:F$68)+SUMIF(I$3:I$68,O3,H$3:H$68)</f>
        <v>29</v>
      </c>
      <c r="U3" s="135">
        <f t="shared" ref="U3:U14" si="8">SUMIF(E$3:E$68,O3,H$3:H$68)+SUMIF(I$3:I$68,O3,F$3:F$68)</f>
        <v>18</v>
      </c>
      <c r="V3" s="134">
        <f t="shared" ref="V3:V14" si="9">T3-U3</f>
        <v>11</v>
      </c>
      <c r="W3" s="2"/>
      <c r="X3" s="136" t="s">
        <v>26</v>
      </c>
      <c r="Y3" s="136" t="s">
        <v>13</v>
      </c>
      <c r="Z3" s="2"/>
      <c r="AA3" s="22" t="s">
        <v>29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52</v>
      </c>
      <c r="D4" s="12" t="s">
        <v>181</v>
      </c>
      <c r="E4" s="45" t="s">
        <v>39</v>
      </c>
      <c r="F4" s="17">
        <v>1.0</v>
      </c>
      <c r="G4" s="93" t="s">
        <v>24</v>
      </c>
      <c r="H4" s="133">
        <v>2.0</v>
      </c>
      <c r="I4" s="45" t="s">
        <v>63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21" t="s">
        <v>33</v>
      </c>
      <c r="P4" s="134">
        <f t="shared" si="3"/>
        <v>22</v>
      </c>
      <c r="Q4" s="134">
        <f t="shared" si="4"/>
        <v>7</v>
      </c>
      <c r="R4" s="134">
        <f t="shared" si="5"/>
        <v>1</v>
      </c>
      <c r="S4" s="135">
        <f t="shared" si="6"/>
        <v>2</v>
      </c>
      <c r="T4" s="134">
        <f t="shared" si="7"/>
        <v>36</v>
      </c>
      <c r="U4" s="135">
        <f t="shared" si="8"/>
        <v>12</v>
      </c>
      <c r="V4" s="134">
        <f t="shared" si="9"/>
        <v>24</v>
      </c>
      <c r="W4" s="2"/>
      <c r="X4" s="137" t="s">
        <v>25</v>
      </c>
      <c r="Y4" s="137">
        <v>3.0</v>
      </c>
      <c r="Z4" s="2"/>
      <c r="AA4" s="22" t="s">
        <v>34</v>
      </c>
      <c r="AB4" s="28" t="s">
        <v>25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126">
        <v>45950.0</v>
      </c>
      <c r="C5" s="12" t="s">
        <v>53</v>
      </c>
      <c r="D5" s="12" t="s">
        <v>181</v>
      </c>
      <c r="E5" s="45" t="s">
        <v>23</v>
      </c>
      <c r="F5" s="17">
        <v>1.0</v>
      </c>
      <c r="G5" s="93" t="s">
        <v>24</v>
      </c>
      <c r="H5" s="133">
        <v>1.0</v>
      </c>
      <c r="I5" s="45" t="s">
        <v>37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58</v>
      </c>
      <c r="P5" s="134">
        <f t="shared" si="3"/>
        <v>1</v>
      </c>
      <c r="Q5" s="134">
        <f t="shared" si="4"/>
        <v>0</v>
      </c>
      <c r="R5" s="134">
        <f t="shared" si="5"/>
        <v>1</v>
      </c>
      <c r="S5" s="135">
        <f t="shared" si="6"/>
        <v>9</v>
      </c>
      <c r="T5" s="134">
        <f t="shared" si="7"/>
        <v>6</v>
      </c>
      <c r="U5" s="135">
        <f t="shared" si="8"/>
        <v>27</v>
      </c>
      <c r="V5" s="134">
        <f t="shared" si="9"/>
        <v>-21</v>
      </c>
      <c r="W5" s="2"/>
      <c r="X5" s="137" t="s">
        <v>150</v>
      </c>
      <c r="Y5" s="137">
        <v>0.0</v>
      </c>
      <c r="Z5" s="2"/>
      <c r="AA5" s="22" t="s">
        <v>38</v>
      </c>
      <c r="AB5" s="28" t="s">
        <v>33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52</v>
      </c>
      <c r="D6" s="12" t="s">
        <v>181</v>
      </c>
      <c r="E6" s="45" t="s">
        <v>25</v>
      </c>
      <c r="F6" s="17">
        <v>2.0</v>
      </c>
      <c r="G6" s="93" t="s">
        <v>24</v>
      </c>
      <c r="H6" s="133">
        <v>1.0</v>
      </c>
      <c r="I6" s="45" t="s">
        <v>36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66</v>
      </c>
      <c r="P6" s="134">
        <f t="shared" si="3"/>
        <v>4</v>
      </c>
      <c r="Q6" s="134">
        <f t="shared" si="4"/>
        <v>1</v>
      </c>
      <c r="R6" s="134">
        <f t="shared" si="5"/>
        <v>1</v>
      </c>
      <c r="S6" s="135">
        <f t="shared" si="6"/>
        <v>8</v>
      </c>
      <c r="T6" s="134">
        <f t="shared" si="7"/>
        <v>11</v>
      </c>
      <c r="U6" s="135">
        <f t="shared" si="8"/>
        <v>35</v>
      </c>
      <c r="V6" s="134">
        <f t="shared" si="9"/>
        <v>-24</v>
      </c>
      <c r="W6" s="2"/>
      <c r="X6" s="2"/>
      <c r="Y6" s="2"/>
      <c r="Z6" s="2"/>
      <c r="AA6" s="22" t="s">
        <v>41</v>
      </c>
      <c r="AB6" s="28" t="s">
        <v>105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53</v>
      </c>
      <c r="D7" s="12" t="s">
        <v>181</v>
      </c>
      <c r="E7" s="45" t="s">
        <v>66</v>
      </c>
      <c r="F7" s="17"/>
      <c r="G7" s="93" t="s">
        <v>24</v>
      </c>
      <c r="H7" s="133"/>
      <c r="I7" s="14" t="s">
        <v>150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21" t="s">
        <v>63</v>
      </c>
      <c r="P7" s="134">
        <f t="shared" si="3"/>
        <v>12</v>
      </c>
      <c r="Q7" s="134">
        <f t="shared" si="4"/>
        <v>4</v>
      </c>
      <c r="R7" s="134">
        <f t="shared" si="5"/>
        <v>0</v>
      </c>
      <c r="S7" s="135">
        <f t="shared" si="6"/>
        <v>6</v>
      </c>
      <c r="T7" s="134">
        <f t="shared" si="7"/>
        <v>17</v>
      </c>
      <c r="U7" s="135">
        <f t="shared" si="8"/>
        <v>46</v>
      </c>
      <c r="V7" s="134">
        <f t="shared" si="9"/>
        <v>-29</v>
      </c>
      <c r="W7" s="2"/>
      <c r="X7" s="2"/>
      <c r="Y7" s="2"/>
      <c r="Z7" s="2"/>
      <c r="AA7" s="22" t="s">
        <v>44</v>
      </c>
      <c r="AB7" s="28" t="s">
        <v>37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4">
        <v>45952.0</v>
      </c>
      <c r="C8" s="12" t="s">
        <v>53</v>
      </c>
      <c r="D8" s="12" t="s">
        <v>181</v>
      </c>
      <c r="E8" s="45" t="s">
        <v>102</v>
      </c>
      <c r="F8" s="15">
        <v>1.0</v>
      </c>
      <c r="G8" s="93" t="s">
        <v>24</v>
      </c>
      <c r="H8" s="17">
        <v>2.0</v>
      </c>
      <c r="I8" s="45" t="s">
        <v>33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34">
        <f t="shared" si="3"/>
        <v>25</v>
      </c>
      <c r="Q8" s="134">
        <f t="shared" si="4"/>
        <v>8</v>
      </c>
      <c r="R8" s="134">
        <f t="shared" si="5"/>
        <v>1</v>
      </c>
      <c r="S8" s="135">
        <f t="shared" si="6"/>
        <v>1</v>
      </c>
      <c r="T8" s="134">
        <f t="shared" si="7"/>
        <v>27</v>
      </c>
      <c r="U8" s="135">
        <f t="shared" si="8"/>
        <v>7</v>
      </c>
      <c r="V8" s="134">
        <f t="shared" si="9"/>
        <v>20</v>
      </c>
      <c r="W8" s="2"/>
      <c r="X8" s="2"/>
      <c r="Y8" s="2"/>
      <c r="Z8" s="2"/>
      <c r="AA8" s="22" t="s">
        <v>47</v>
      </c>
      <c r="AB8" s="28" t="s">
        <v>36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4">
        <v>45971.0</v>
      </c>
      <c r="C9" s="12" t="s">
        <v>55</v>
      </c>
      <c r="D9" s="12" t="s">
        <v>181</v>
      </c>
      <c r="E9" s="45" t="s">
        <v>58</v>
      </c>
      <c r="F9" s="15">
        <v>0.0</v>
      </c>
      <c r="G9" s="93" t="s">
        <v>24</v>
      </c>
      <c r="H9" s="133">
        <v>1.0</v>
      </c>
      <c r="I9" s="45" t="s">
        <v>102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21" t="s">
        <v>37</v>
      </c>
      <c r="P9" s="134">
        <f t="shared" si="3"/>
        <v>18</v>
      </c>
      <c r="Q9" s="134">
        <f t="shared" si="4"/>
        <v>5</v>
      </c>
      <c r="R9" s="134">
        <f t="shared" si="5"/>
        <v>3</v>
      </c>
      <c r="S9" s="135">
        <f t="shared" si="6"/>
        <v>2</v>
      </c>
      <c r="T9" s="134">
        <f t="shared" si="7"/>
        <v>24</v>
      </c>
      <c r="U9" s="135">
        <f t="shared" si="8"/>
        <v>16</v>
      </c>
      <c r="V9" s="134">
        <f t="shared" si="9"/>
        <v>8</v>
      </c>
      <c r="W9" s="2"/>
      <c r="X9" s="2"/>
      <c r="Y9" s="2"/>
      <c r="Z9" s="2"/>
      <c r="AA9" s="22">
        <v>7.0</v>
      </c>
      <c r="AB9" s="28" t="s">
        <v>63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4">
        <v>45994.0</v>
      </c>
      <c r="C10" s="12" t="s">
        <v>74</v>
      </c>
      <c r="D10" s="12" t="s">
        <v>181</v>
      </c>
      <c r="E10" s="45" t="s">
        <v>63</v>
      </c>
      <c r="F10" s="15">
        <v>1.0</v>
      </c>
      <c r="G10" s="93" t="s">
        <v>24</v>
      </c>
      <c r="H10" s="133">
        <v>8.0</v>
      </c>
      <c r="I10" s="45" t="s">
        <v>105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21" t="s">
        <v>23</v>
      </c>
      <c r="P10" s="134">
        <f t="shared" si="3"/>
        <v>28</v>
      </c>
      <c r="Q10" s="134">
        <f t="shared" si="4"/>
        <v>9</v>
      </c>
      <c r="R10" s="134">
        <f t="shared" si="5"/>
        <v>1</v>
      </c>
      <c r="S10" s="135">
        <f t="shared" si="6"/>
        <v>0</v>
      </c>
      <c r="T10" s="134">
        <f t="shared" si="7"/>
        <v>38</v>
      </c>
      <c r="U10" s="135">
        <f t="shared" si="8"/>
        <v>8</v>
      </c>
      <c r="V10" s="134">
        <f t="shared" si="9"/>
        <v>30</v>
      </c>
      <c r="W10" s="2"/>
      <c r="X10" s="2"/>
      <c r="Y10" s="2"/>
      <c r="Z10" s="2"/>
      <c r="AA10" s="22">
        <v>8.0</v>
      </c>
      <c r="AB10" s="28" t="s">
        <v>39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4">
        <v>45964.0</v>
      </c>
      <c r="C11" s="12" t="s">
        <v>182</v>
      </c>
      <c r="D11" s="12" t="s">
        <v>181</v>
      </c>
      <c r="E11" s="45" t="s">
        <v>37</v>
      </c>
      <c r="F11" s="15">
        <v>3.0</v>
      </c>
      <c r="G11" s="93" t="s">
        <v>24</v>
      </c>
      <c r="H11" s="133">
        <v>1.0</v>
      </c>
      <c r="I11" s="45" t="s">
        <v>39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36</v>
      </c>
      <c r="P11" s="134">
        <f t="shared" si="3"/>
        <v>12</v>
      </c>
      <c r="Q11" s="134">
        <f t="shared" si="4"/>
        <v>3</v>
      </c>
      <c r="R11" s="134">
        <f t="shared" si="5"/>
        <v>3</v>
      </c>
      <c r="S11" s="135">
        <f t="shared" si="6"/>
        <v>4</v>
      </c>
      <c r="T11" s="134">
        <f t="shared" si="7"/>
        <v>23</v>
      </c>
      <c r="U11" s="135">
        <f t="shared" si="8"/>
        <v>23</v>
      </c>
      <c r="V11" s="134">
        <f t="shared" si="9"/>
        <v>0</v>
      </c>
      <c r="W11" s="2"/>
      <c r="X11" s="2"/>
      <c r="Y11" s="2"/>
      <c r="Z11" s="2"/>
      <c r="AA11" s="124" t="s">
        <v>91</v>
      </c>
      <c r="AB11" s="28" t="s">
        <v>102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4">
        <v>45964.0</v>
      </c>
      <c r="C12" s="39" t="s">
        <v>183</v>
      </c>
      <c r="D12" s="12" t="s">
        <v>181</v>
      </c>
      <c r="E12" s="45" t="s">
        <v>36</v>
      </c>
      <c r="F12" s="17">
        <v>0.0</v>
      </c>
      <c r="G12" s="93" t="s">
        <v>24</v>
      </c>
      <c r="H12" s="133">
        <v>4.0</v>
      </c>
      <c r="I12" s="45" t="s">
        <v>23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21" t="s">
        <v>39</v>
      </c>
      <c r="P12" s="134">
        <f t="shared" si="3"/>
        <v>10</v>
      </c>
      <c r="Q12" s="134">
        <f t="shared" si="4"/>
        <v>3</v>
      </c>
      <c r="R12" s="134">
        <f t="shared" si="5"/>
        <v>1</v>
      </c>
      <c r="S12" s="135">
        <f t="shared" si="6"/>
        <v>6</v>
      </c>
      <c r="T12" s="134">
        <f t="shared" si="7"/>
        <v>12</v>
      </c>
      <c r="U12" s="135">
        <f t="shared" si="8"/>
        <v>14</v>
      </c>
      <c r="V12" s="134">
        <f t="shared" si="9"/>
        <v>-2</v>
      </c>
      <c r="W12" s="2"/>
      <c r="X12" s="2"/>
      <c r="Y12" s="2"/>
      <c r="Z12" s="2"/>
      <c r="AA12" s="77">
        <v>10.0</v>
      </c>
      <c r="AB12" s="28" t="s">
        <v>66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184</v>
      </c>
      <c r="D13" s="12" t="s">
        <v>181</v>
      </c>
      <c r="E13" s="14" t="s">
        <v>150</v>
      </c>
      <c r="F13" s="17"/>
      <c r="G13" s="93" t="s">
        <v>24</v>
      </c>
      <c r="H13" s="133"/>
      <c r="I13" s="45" t="s">
        <v>25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21" t="s">
        <v>150</v>
      </c>
      <c r="P13" s="134">
        <f t="shared" si="3"/>
        <v>0</v>
      </c>
      <c r="Q13" s="134">
        <f t="shared" si="4"/>
        <v>0</v>
      </c>
      <c r="R13" s="134">
        <f t="shared" si="5"/>
        <v>0</v>
      </c>
      <c r="S13" s="135">
        <f t="shared" si="6"/>
        <v>0</v>
      </c>
      <c r="T13" s="134">
        <f t="shared" si="7"/>
        <v>0</v>
      </c>
      <c r="U13" s="135">
        <f t="shared" si="8"/>
        <v>0</v>
      </c>
      <c r="V13" s="134">
        <f t="shared" si="9"/>
        <v>0</v>
      </c>
      <c r="W13" s="2"/>
      <c r="X13" s="2"/>
      <c r="Y13" s="2"/>
      <c r="Z13" s="2"/>
      <c r="AA13" s="77">
        <v>11.0</v>
      </c>
      <c r="AB13" s="28" t="s">
        <v>58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75</v>
      </c>
      <c r="D14" s="12" t="s">
        <v>181</v>
      </c>
      <c r="E14" s="45" t="s">
        <v>33</v>
      </c>
      <c r="F14" s="17">
        <v>6.0</v>
      </c>
      <c r="G14" s="93" t="s">
        <v>24</v>
      </c>
      <c r="H14" s="133">
        <v>1.0</v>
      </c>
      <c r="I14" s="45" t="s">
        <v>66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21" t="s">
        <v>102</v>
      </c>
      <c r="P14" s="134">
        <f t="shared" si="3"/>
        <v>6</v>
      </c>
      <c r="Q14" s="134">
        <f t="shared" si="4"/>
        <v>2</v>
      </c>
      <c r="R14" s="134">
        <f t="shared" si="5"/>
        <v>0</v>
      </c>
      <c r="S14" s="135">
        <f t="shared" si="6"/>
        <v>8</v>
      </c>
      <c r="T14" s="134">
        <f t="shared" si="7"/>
        <v>12</v>
      </c>
      <c r="U14" s="135">
        <f t="shared" si="8"/>
        <v>29</v>
      </c>
      <c r="V14" s="134">
        <f t="shared" si="9"/>
        <v>-17</v>
      </c>
      <c r="W14" s="2"/>
      <c r="X14" s="2"/>
      <c r="Y14" s="2"/>
      <c r="Z14" s="2"/>
      <c r="AA14" s="77">
        <v>12.0</v>
      </c>
      <c r="AB14" s="28" t="s">
        <v>150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52</v>
      </c>
      <c r="D15" s="12" t="s">
        <v>181</v>
      </c>
      <c r="E15" s="45" t="s">
        <v>58</v>
      </c>
      <c r="F15" s="17">
        <v>1.0</v>
      </c>
      <c r="G15" s="93" t="s">
        <v>24</v>
      </c>
      <c r="H15" s="133">
        <v>3.0</v>
      </c>
      <c r="I15" s="45" t="s">
        <v>63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185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52</v>
      </c>
      <c r="D16" s="12" t="s">
        <v>181</v>
      </c>
      <c r="E16" s="45" t="s">
        <v>105</v>
      </c>
      <c r="F16" s="17">
        <v>1.0</v>
      </c>
      <c r="G16" s="93" t="s">
        <v>24</v>
      </c>
      <c r="H16" s="133">
        <v>0.0</v>
      </c>
      <c r="I16" s="45" t="s">
        <v>37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80" t="s">
        <v>96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55</v>
      </c>
      <c r="D17" s="12" t="s">
        <v>181</v>
      </c>
      <c r="E17" s="45" t="s">
        <v>39</v>
      </c>
      <c r="F17" s="17">
        <v>1.0</v>
      </c>
      <c r="G17" s="93" t="s">
        <v>24</v>
      </c>
      <c r="H17" s="133">
        <v>0.0</v>
      </c>
      <c r="I17" s="45" t="s">
        <v>36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182</v>
      </c>
      <c r="D18" s="12" t="s">
        <v>181</v>
      </c>
      <c r="E18" s="45" t="s">
        <v>23</v>
      </c>
      <c r="F18" s="14"/>
      <c r="G18" s="93" t="s">
        <v>24</v>
      </c>
      <c r="H18" s="133"/>
      <c r="I18" s="14" t="s">
        <v>150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4">
        <v>45986.0</v>
      </c>
      <c r="C19" s="39" t="s">
        <v>183</v>
      </c>
      <c r="D19" s="12" t="s">
        <v>181</v>
      </c>
      <c r="E19" s="45" t="s">
        <v>25</v>
      </c>
      <c r="F19" s="17">
        <v>2.0</v>
      </c>
      <c r="G19" s="93" t="s">
        <v>24</v>
      </c>
      <c r="H19" s="133">
        <v>1.0</v>
      </c>
      <c r="I19" s="45" t="s">
        <v>33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4">
        <v>45986.0</v>
      </c>
      <c r="C20" s="12" t="s">
        <v>184</v>
      </c>
      <c r="D20" s="12" t="s">
        <v>181</v>
      </c>
      <c r="E20" s="45" t="s">
        <v>102</v>
      </c>
      <c r="F20" s="17">
        <v>5.0</v>
      </c>
      <c r="G20" s="93" t="s">
        <v>24</v>
      </c>
      <c r="H20" s="133">
        <v>1.0</v>
      </c>
      <c r="I20" s="45" t="s">
        <v>66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90">
        <v>46000.0</v>
      </c>
      <c r="C21" s="12" t="s">
        <v>55</v>
      </c>
      <c r="D21" s="12" t="s">
        <v>181</v>
      </c>
      <c r="E21" s="45" t="s">
        <v>63</v>
      </c>
      <c r="F21" s="17">
        <v>4.0</v>
      </c>
      <c r="G21" s="93" t="s">
        <v>24</v>
      </c>
      <c r="H21" s="133">
        <v>1.0</v>
      </c>
      <c r="I21" s="45" t="s">
        <v>102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90">
        <v>46078.0</v>
      </c>
      <c r="C22" s="12" t="s">
        <v>128</v>
      </c>
      <c r="D22" s="12" t="s">
        <v>181</v>
      </c>
      <c r="E22" s="45" t="s">
        <v>37</v>
      </c>
      <c r="F22" s="17">
        <v>5.0</v>
      </c>
      <c r="G22" s="93" t="s">
        <v>24</v>
      </c>
      <c r="H22" s="133">
        <v>3.0</v>
      </c>
      <c r="I22" s="45" t="s">
        <v>58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90">
        <v>46078.0</v>
      </c>
      <c r="C23" s="12" t="s">
        <v>74</v>
      </c>
      <c r="D23" s="12" t="s">
        <v>181</v>
      </c>
      <c r="E23" s="45" t="s">
        <v>36</v>
      </c>
      <c r="F23" s="17">
        <v>1.0</v>
      </c>
      <c r="G23" s="93" t="s">
        <v>24</v>
      </c>
      <c r="H23" s="133">
        <v>7.0</v>
      </c>
      <c r="I23" s="45" t="s">
        <v>105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90">
        <v>46000.0</v>
      </c>
      <c r="C24" s="39" t="s">
        <v>53</v>
      </c>
      <c r="D24" s="12" t="s">
        <v>181</v>
      </c>
      <c r="E24" s="14" t="s">
        <v>150</v>
      </c>
      <c r="F24" s="17"/>
      <c r="G24" s="93" t="s">
        <v>24</v>
      </c>
      <c r="H24" s="133"/>
      <c r="I24" s="45" t="s">
        <v>39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90">
        <v>46078.0</v>
      </c>
      <c r="C25" s="12" t="s">
        <v>75</v>
      </c>
      <c r="D25" s="12" t="s">
        <v>181</v>
      </c>
      <c r="E25" s="45" t="s">
        <v>33</v>
      </c>
      <c r="F25" s="17">
        <v>1.0</v>
      </c>
      <c r="G25" s="93" t="s">
        <v>24</v>
      </c>
      <c r="H25" s="133">
        <v>2.0</v>
      </c>
      <c r="I25" s="45" t="s">
        <v>23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90">
        <v>46000.0</v>
      </c>
      <c r="C26" s="12" t="s">
        <v>52</v>
      </c>
      <c r="D26" s="12" t="s">
        <v>181</v>
      </c>
      <c r="E26" s="45" t="s">
        <v>66</v>
      </c>
      <c r="F26" s="17">
        <v>1.0</v>
      </c>
      <c r="G26" s="93" t="s">
        <v>24</v>
      </c>
      <c r="H26" s="133">
        <v>4.0</v>
      </c>
      <c r="I26" s="45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4">
        <v>46083.0</v>
      </c>
      <c r="C27" s="12" t="s">
        <v>55</v>
      </c>
      <c r="D27" s="12" t="s">
        <v>181</v>
      </c>
      <c r="E27" s="45" t="s">
        <v>63</v>
      </c>
      <c r="F27" s="17">
        <v>1.0</v>
      </c>
      <c r="G27" s="93" t="s">
        <v>24</v>
      </c>
      <c r="H27" s="133">
        <v>3.0</v>
      </c>
      <c r="I27" s="45" t="s">
        <v>37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4">
        <v>46083.0</v>
      </c>
      <c r="C28" s="39" t="s">
        <v>52</v>
      </c>
      <c r="D28" s="12" t="s">
        <v>181</v>
      </c>
      <c r="E28" s="45" t="s">
        <v>58</v>
      </c>
      <c r="F28" s="17">
        <v>1.0</v>
      </c>
      <c r="G28" s="93" t="s">
        <v>24</v>
      </c>
      <c r="H28" s="133">
        <v>3.0</v>
      </c>
      <c r="I28" s="45" t="s">
        <v>36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4">
        <v>46083.0</v>
      </c>
      <c r="C29" s="12" t="s">
        <v>53</v>
      </c>
      <c r="D29" s="12" t="s">
        <v>181</v>
      </c>
      <c r="E29" s="45" t="s">
        <v>105</v>
      </c>
      <c r="F29" s="17"/>
      <c r="G29" s="93" t="s">
        <v>24</v>
      </c>
      <c r="H29" s="133"/>
      <c r="I29" s="14" t="s">
        <v>150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4">
        <v>46085.0</v>
      </c>
      <c r="C30" s="12" t="s">
        <v>53</v>
      </c>
      <c r="D30" s="12" t="s">
        <v>181</v>
      </c>
      <c r="E30" s="45" t="s">
        <v>39</v>
      </c>
      <c r="F30" s="17">
        <v>1.0</v>
      </c>
      <c r="G30" s="93" t="s">
        <v>24</v>
      </c>
      <c r="H30" s="133">
        <v>3.0</v>
      </c>
      <c r="I30" s="45" t="s">
        <v>33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4">
        <v>46085.0</v>
      </c>
      <c r="C31" s="39" t="s">
        <v>52</v>
      </c>
      <c r="D31" s="12" t="s">
        <v>181</v>
      </c>
      <c r="E31" s="45" t="s">
        <v>23</v>
      </c>
      <c r="F31" s="17">
        <v>3.0</v>
      </c>
      <c r="G31" s="93" t="s">
        <v>24</v>
      </c>
      <c r="H31" s="133">
        <v>0.0</v>
      </c>
      <c r="I31" s="45" t="s">
        <v>66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4">
        <v>46085.0</v>
      </c>
      <c r="C32" s="12" t="s">
        <v>55</v>
      </c>
      <c r="D32" s="12" t="s">
        <v>181</v>
      </c>
      <c r="E32" s="56" t="s">
        <v>102</v>
      </c>
      <c r="F32" s="17">
        <v>0.0</v>
      </c>
      <c r="G32" s="93" t="s">
        <v>24</v>
      </c>
      <c r="H32" s="133">
        <v>3.0</v>
      </c>
      <c r="I32" s="45" t="s">
        <v>25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4">
        <v>46093.0</v>
      </c>
      <c r="C33" s="12" t="s">
        <v>55</v>
      </c>
      <c r="D33" s="12" t="s">
        <v>181</v>
      </c>
      <c r="E33" s="45" t="s">
        <v>37</v>
      </c>
      <c r="F33" s="17">
        <v>5.0</v>
      </c>
      <c r="G33" s="93" t="s">
        <v>24</v>
      </c>
      <c r="H33" s="133">
        <v>0.0</v>
      </c>
      <c r="I33" s="45" t="s">
        <v>102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4">
        <v>46092.0</v>
      </c>
      <c r="C34" s="39" t="s">
        <v>52</v>
      </c>
      <c r="D34" s="12" t="s">
        <v>181</v>
      </c>
      <c r="E34" s="45" t="s">
        <v>36</v>
      </c>
      <c r="F34" s="17">
        <v>7.0</v>
      </c>
      <c r="G34" s="93" t="s">
        <v>24</v>
      </c>
      <c r="H34" s="133">
        <v>1.0</v>
      </c>
      <c r="I34" s="45" t="s">
        <v>63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4">
        <v>46092.0</v>
      </c>
      <c r="C35" s="12" t="s">
        <v>53</v>
      </c>
      <c r="D35" s="12" t="s">
        <v>181</v>
      </c>
      <c r="E35" s="14" t="s">
        <v>150</v>
      </c>
      <c r="F35" s="17"/>
      <c r="G35" s="93" t="s">
        <v>24</v>
      </c>
      <c r="H35" s="133"/>
      <c r="I35" s="45" t="s">
        <v>58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4">
        <v>46107.0</v>
      </c>
      <c r="C36" s="39" t="s">
        <v>52</v>
      </c>
      <c r="D36" s="12" t="s">
        <v>181</v>
      </c>
      <c r="E36" s="45" t="s">
        <v>33</v>
      </c>
      <c r="F36" s="17">
        <v>3.0</v>
      </c>
      <c r="G36" s="93" t="s">
        <v>24</v>
      </c>
      <c r="H36" s="133">
        <v>0.0</v>
      </c>
      <c r="I36" s="45" t="s">
        <v>105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4">
        <v>46091.0</v>
      </c>
      <c r="C37" s="39" t="s">
        <v>55</v>
      </c>
      <c r="D37" s="12" t="s">
        <v>181</v>
      </c>
      <c r="E37" s="45" t="s">
        <v>66</v>
      </c>
      <c r="F37" s="17">
        <v>1.0</v>
      </c>
      <c r="G37" s="93" t="s">
        <v>24</v>
      </c>
      <c r="H37" s="133">
        <v>3.0</v>
      </c>
      <c r="I37" s="45" t="s">
        <v>39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4">
        <v>46091.0</v>
      </c>
      <c r="C38" s="12" t="s">
        <v>53</v>
      </c>
      <c r="D38" s="12" t="s">
        <v>181</v>
      </c>
      <c r="E38" s="45" t="s">
        <v>25</v>
      </c>
      <c r="F38" s="17">
        <v>0.0</v>
      </c>
      <c r="G38" s="93" t="s">
        <v>24</v>
      </c>
      <c r="H38" s="133">
        <v>2.0</v>
      </c>
      <c r="I38" s="45" t="s">
        <v>23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4">
        <v>46098.0</v>
      </c>
      <c r="C39" s="12" t="s">
        <v>55</v>
      </c>
      <c r="D39" s="12" t="s">
        <v>181</v>
      </c>
      <c r="E39" s="45" t="s">
        <v>37</v>
      </c>
      <c r="F39" s="17">
        <v>2.0</v>
      </c>
      <c r="G39" s="93" t="s">
        <v>24</v>
      </c>
      <c r="H39" s="133">
        <v>2.0</v>
      </c>
      <c r="I39" s="45" t="s">
        <v>36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4">
        <v>46100.0</v>
      </c>
      <c r="C40" s="12" t="s">
        <v>53</v>
      </c>
      <c r="D40" s="12" t="s">
        <v>181</v>
      </c>
      <c r="E40" s="45" t="s">
        <v>63</v>
      </c>
      <c r="F40" s="93"/>
      <c r="G40" s="93" t="s">
        <v>24</v>
      </c>
      <c r="H40" s="138"/>
      <c r="I40" s="14" t="s">
        <v>150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4">
        <v>46098.0</v>
      </c>
      <c r="C41" s="39" t="s">
        <v>52</v>
      </c>
      <c r="D41" s="12" t="s">
        <v>181</v>
      </c>
      <c r="E41" s="45" t="s">
        <v>58</v>
      </c>
      <c r="F41" s="17">
        <v>0.0</v>
      </c>
      <c r="G41" s="93" t="s">
        <v>24</v>
      </c>
      <c r="H41" s="133">
        <v>4.0</v>
      </c>
      <c r="I41" s="45" t="s">
        <v>33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4">
        <v>46098.0</v>
      </c>
      <c r="C42" s="12" t="s">
        <v>53</v>
      </c>
      <c r="D42" s="12" t="s">
        <v>181</v>
      </c>
      <c r="E42" s="45" t="s">
        <v>105</v>
      </c>
      <c r="F42" s="17">
        <v>6.0</v>
      </c>
      <c r="G42" s="93" t="s">
        <v>24</v>
      </c>
      <c r="H42" s="133">
        <v>2.0</v>
      </c>
      <c r="I42" s="45" t="s">
        <v>66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4">
        <v>46104.0</v>
      </c>
      <c r="C43" s="12" t="s">
        <v>55</v>
      </c>
      <c r="D43" s="12" t="s">
        <v>181</v>
      </c>
      <c r="E43" s="45" t="s">
        <v>39</v>
      </c>
      <c r="F43" s="17">
        <v>1.0</v>
      </c>
      <c r="G43" s="93" t="s">
        <v>24</v>
      </c>
      <c r="H43" s="133">
        <v>2.0</v>
      </c>
      <c r="I43" s="45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4">
        <v>46125.0</v>
      </c>
      <c r="C44" s="12" t="s">
        <v>53</v>
      </c>
      <c r="D44" s="12" t="s">
        <v>181</v>
      </c>
      <c r="E44" s="45" t="s">
        <v>102</v>
      </c>
      <c r="F44" s="17">
        <v>2.0</v>
      </c>
      <c r="G44" s="93" t="s">
        <v>24</v>
      </c>
      <c r="H44" s="133">
        <v>4.0</v>
      </c>
      <c r="I44" s="45" t="s">
        <v>23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4">
        <v>46106.0</v>
      </c>
      <c r="C45" s="12" t="s">
        <v>53</v>
      </c>
      <c r="D45" s="12" t="s">
        <v>181</v>
      </c>
      <c r="E45" s="45" t="s">
        <v>36</v>
      </c>
      <c r="F45" s="17">
        <v>5.0</v>
      </c>
      <c r="G45" s="93" t="s">
        <v>24</v>
      </c>
      <c r="H45" s="133">
        <v>1.0</v>
      </c>
      <c r="I45" s="45" t="s">
        <v>102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4">
        <v>46105.0</v>
      </c>
      <c r="C46" s="39" t="s">
        <v>52</v>
      </c>
      <c r="D46" s="12" t="s">
        <v>181</v>
      </c>
      <c r="E46" s="14" t="s">
        <v>150</v>
      </c>
      <c r="F46" s="93"/>
      <c r="G46" s="93" t="s">
        <v>24</v>
      </c>
      <c r="H46" s="138"/>
      <c r="I46" s="45" t="s">
        <v>37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4">
        <v>46105.0</v>
      </c>
      <c r="C47" s="12" t="s">
        <v>53</v>
      </c>
      <c r="D47" s="12" t="s">
        <v>181</v>
      </c>
      <c r="E47" s="45" t="s">
        <v>33</v>
      </c>
      <c r="F47" s="17">
        <v>8.0</v>
      </c>
      <c r="G47" s="93" t="s">
        <v>24</v>
      </c>
      <c r="H47" s="133">
        <v>2.0</v>
      </c>
      <c r="I47" s="45" t="s">
        <v>63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4">
        <v>46106.0</v>
      </c>
      <c r="C48" s="12" t="s">
        <v>55</v>
      </c>
      <c r="D48" s="12" t="s">
        <v>181</v>
      </c>
      <c r="E48" s="45" t="s">
        <v>66</v>
      </c>
      <c r="F48" s="17">
        <v>3.0</v>
      </c>
      <c r="G48" s="93" t="s">
        <v>24</v>
      </c>
      <c r="H48" s="133">
        <v>0.0</v>
      </c>
      <c r="I48" s="45" t="s">
        <v>58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4">
        <v>46125.0</v>
      </c>
      <c r="C49" s="12" t="s">
        <v>52</v>
      </c>
      <c r="D49" s="12" t="s">
        <v>181</v>
      </c>
      <c r="E49" s="45" t="s">
        <v>25</v>
      </c>
      <c r="F49" s="17">
        <v>7.0</v>
      </c>
      <c r="G49" s="93" t="s">
        <v>24</v>
      </c>
      <c r="H49" s="133">
        <v>0.0</v>
      </c>
      <c r="I49" s="45" t="s">
        <v>105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4">
        <v>46106.0</v>
      </c>
      <c r="C50" s="39" t="s">
        <v>52</v>
      </c>
      <c r="D50" s="12" t="s">
        <v>181</v>
      </c>
      <c r="E50" s="45" t="s">
        <v>23</v>
      </c>
      <c r="F50" s="17">
        <v>2.0</v>
      </c>
      <c r="G50" s="93" t="s">
        <v>24</v>
      </c>
      <c r="H50" s="133">
        <v>1.0</v>
      </c>
      <c r="I50" s="45" t="s">
        <v>39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7"/>
      <c r="C51" s="16"/>
      <c r="D51" s="139"/>
      <c r="E51" s="45" t="s">
        <v>36</v>
      </c>
      <c r="F51" s="93"/>
      <c r="G51" s="93" t="s">
        <v>24</v>
      </c>
      <c r="H51" s="138"/>
      <c r="I51" s="14" t="s">
        <v>150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4">
        <v>46126.0</v>
      </c>
      <c r="C52" s="39" t="s">
        <v>53</v>
      </c>
      <c r="D52" s="12" t="s">
        <v>181</v>
      </c>
      <c r="E52" s="45" t="s">
        <v>37</v>
      </c>
      <c r="F52" s="17">
        <v>1.0</v>
      </c>
      <c r="G52" s="93" t="s">
        <v>24</v>
      </c>
      <c r="H52" s="133">
        <v>6.0</v>
      </c>
      <c r="I52" s="45" t="s">
        <v>33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4">
        <v>46125.0</v>
      </c>
      <c r="C53" s="12" t="s">
        <v>55</v>
      </c>
      <c r="D53" s="12" t="s">
        <v>181</v>
      </c>
      <c r="E53" s="45" t="s">
        <v>63</v>
      </c>
      <c r="F53" s="17">
        <v>3.0</v>
      </c>
      <c r="G53" s="93" t="s">
        <v>24</v>
      </c>
      <c r="H53" s="133">
        <v>0.0</v>
      </c>
      <c r="I53" s="45" t="s">
        <v>66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4">
        <v>46128.0</v>
      </c>
      <c r="C54" s="12" t="s">
        <v>52</v>
      </c>
      <c r="D54" s="12" t="s">
        <v>181</v>
      </c>
      <c r="E54" s="45" t="s">
        <v>58</v>
      </c>
      <c r="F54" s="17">
        <v>0.0</v>
      </c>
      <c r="G54" s="93" t="s">
        <v>24</v>
      </c>
      <c r="H54" s="133">
        <v>3.0</v>
      </c>
      <c r="I54" s="45" t="s">
        <v>25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4">
        <v>46128.0</v>
      </c>
      <c r="C55" s="12" t="s">
        <v>53</v>
      </c>
      <c r="D55" s="12" t="s">
        <v>181</v>
      </c>
      <c r="E55" s="45" t="s">
        <v>105</v>
      </c>
      <c r="F55" s="17">
        <v>2.0</v>
      </c>
      <c r="G55" s="93" t="s">
        <v>24</v>
      </c>
      <c r="H55" s="133">
        <v>3.0</v>
      </c>
      <c r="I55" s="45" t="s">
        <v>23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4">
        <v>46128.0</v>
      </c>
      <c r="C56" s="39" t="s">
        <v>55</v>
      </c>
      <c r="D56" s="12" t="s">
        <v>181</v>
      </c>
      <c r="E56" s="14" t="s">
        <v>102</v>
      </c>
      <c r="F56" s="17">
        <v>0.0</v>
      </c>
      <c r="G56" s="93" t="s">
        <v>24</v>
      </c>
      <c r="H56" s="133">
        <v>3.0</v>
      </c>
      <c r="I56" s="45" t="s">
        <v>39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7"/>
      <c r="C57" s="31"/>
      <c r="D57" s="139"/>
      <c r="E57" s="45" t="s">
        <v>102</v>
      </c>
      <c r="F57" s="31"/>
      <c r="G57" s="93" t="s">
        <v>24</v>
      </c>
      <c r="H57" s="138"/>
      <c r="I57" s="14" t="s">
        <v>150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4">
        <v>46135.0</v>
      </c>
      <c r="C58" s="12" t="s">
        <v>53</v>
      </c>
      <c r="D58" s="12" t="s">
        <v>181</v>
      </c>
      <c r="E58" s="45" t="s">
        <v>33</v>
      </c>
      <c r="F58" s="15">
        <v>2.0</v>
      </c>
      <c r="G58" s="93" t="s">
        <v>24</v>
      </c>
      <c r="H58" s="133">
        <v>2.0</v>
      </c>
      <c r="I58" s="45" t="s">
        <v>36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4">
        <v>46135.0</v>
      </c>
      <c r="C59" s="12" t="s">
        <v>55</v>
      </c>
      <c r="D59" s="12" t="s">
        <v>181</v>
      </c>
      <c r="E59" s="45" t="s">
        <v>66</v>
      </c>
      <c r="F59" s="13">
        <v>0.0</v>
      </c>
      <c r="G59" s="93" t="s">
        <v>24</v>
      </c>
      <c r="H59" s="133">
        <v>3.0</v>
      </c>
      <c r="I59" s="45" t="s">
        <v>37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4">
        <v>46133.0</v>
      </c>
      <c r="C60" s="12" t="s">
        <v>55</v>
      </c>
      <c r="D60" s="12" t="s">
        <v>181</v>
      </c>
      <c r="E60" s="45" t="s">
        <v>25</v>
      </c>
      <c r="F60" s="13">
        <v>3.0</v>
      </c>
      <c r="G60" s="93" t="s">
        <v>24</v>
      </c>
      <c r="H60" s="133">
        <v>0.0</v>
      </c>
      <c r="I60" s="45" t="s">
        <v>63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4">
        <v>46133.0</v>
      </c>
      <c r="C61" s="12" t="s">
        <v>52</v>
      </c>
      <c r="D61" s="12" t="s">
        <v>181</v>
      </c>
      <c r="E61" s="45" t="s">
        <v>23</v>
      </c>
      <c r="F61" s="13">
        <v>3.0</v>
      </c>
      <c r="G61" s="93" t="s">
        <v>24</v>
      </c>
      <c r="H61" s="133">
        <v>1.0</v>
      </c>
      <c r="I61" s="45" t="s">
        <v>58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4">
        <v>46135.0</v>
      </c>
      <c r="C62" s="12" t="s">
        <v>52</v>
      </c>
      <c r="D62" s="12" t="s">
        <v>181</v>
      </c>
      <c r="E62" s="45" t="s">
        <v>39</v>
      </c>
      <c r="F62" s="13">
        <v>0.0</v>
      </c>
      <c r="G62" s="93" t="s">
        <v>24</v>
      </c>
      <c r="H62" s="133">
        <v>1.0</v>
      </c>
      <c r="I62" s="45" t="s">
        <v>105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7"/>
      <c r="C63" s="31"/>
      <c r="D63" s="31"/>
      <c r="E63" s="14" t="s">
        <v>150</v>
      </c>
      <c r="F63" s="93"/>
      <c r="G63" s="93" t="s">
        <v>24</v>
      </c>
      <c r="H63" s="138"/>
      <c r="I63" s="45" t="s">
        <v>33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90">
        <v>46149.0</v>
      </c>
      <c r="C64" s="12" t="s">
        <v>55</v>
      </c>
      <c r="D64" s="12" t="s">
        <v>181</v>
      </c>
      <c r="E64" s="45" t="s">
        <v>36</v>
      </c>
      <c r="F64" s="17">
        <v>2.0</v>
      </c>
      <c r="G64" s="93" t="s">
        <v>24</v>
      </c>
      <c r="H64" s="133">
        <v>2.0</v>
      </c>
      <c r="I64" s="45" t="s">
        <v>66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4">
        <v>46147.0</v>
      </c>
      <c r="C65" s="12" t="s">
        <v>52</v>
      </c>
      <c r="D65" s="12" t="s">
        <v>181</v>
      </c>
      <c r="E65" s="45" t="s">
        <v>37</v>
      </c>
      <c r="F65" s="17">
        <v>1.0</v>
      </c>
      <c r="G65" s="93" t="s">
        <v>24</v>
      </c>
      <c r="H65" s="133">
        <v>1.0</v>
      </c>
      <c r="I65" s="45" t="s">
        <v>25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4">
        <v>46146.0</v>
      </c>
      <c r="C66" s="12" t="s">
        <v>52</v>
      </c>
      <c r="D66" s="12" t="s">
        <v>181</v>
      </c>
      <c r="E66" s="45" t="s">
        <v>63</v>
      </c>
      <c r="F66" s="17">
        <v>0.0</v>
      </c>
      <c r="G66" s="93" t="s">
        <v>24</v>
      </c>
      <c r="H66" s="133">
        <v>14.0</v>
      </c>
      <c r="I66" s="45" t="s">
        <v>23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4">
        <v>46147.0</v>
      </c>
      <c r="C67" s="12" t="s">
        <v>55</v>
      </c>
      <c r="D67" s="12" t="s">
        <v>181</v>
      </c>
      <c r="E67" s="45" t="s">
        <v>58</v>
      </c>
      <c r="F67" s="17">
        <v>0.0</v>
      </c>
      <c r="G67" s="93" t="s">
        <v>24</v>
      </c>
      <c r="H67" s="133">
        <v>0.0</v>
      </c>
      <c r="I67" s="45" t="s">
        <v>39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4">
        <v>46146.0</v>
      </c>
      <c r="C68" s="12" t="s">
        <v>55</v>
      </c>
      <c r="D68" s="12" t="s">
        <v>181</v>
      </c>
      <c r="E68" s="45" t="s">
        <v>105</v>
      </c>
      <c r="F68" s="17">
        <v>2.0</v>
      </c>
      <c r="G68" s="93" t="s">
        <v>24</v>
      </c>
      <c r="H68" s="133">
        <v>1.0</v>
      </c>
      <c r="I68" s="45" t="s">
        <v>102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3" t="s">
        <v>186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126">
        <v>45952.0</v>
      </c>
      <c r="C75" s="39" t="s">
        <v>51</v>
      </c>
      <c r="D75" s="39" t="s">
        <v>181</v>
      </c>
      <c r="E75" s="17" t="s">
        <v>61</v>
      </c>
      <c r="F75" s="91">
        <v>1.0</v>
      </c>
      <c r="G75" s="93" t="s">
        <v>24</v>
      </c>
      <c r="H75" s="91">
        <v>5.0</v>
      </c>
      <c r="I75" s="17" t="s">
        <v>187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1" t="s">
        <v>187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6" t="s">
        <v>29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126">
        <v>45952.0</v>
      </c>
      <c r="C76" s="39" t="s">
        <v>55</v>
      </c>
      <c r="D76" s="39" t="s">
        <v>181</v>
      </c>
      <c r="E76" s="17" t="s">
        <v>32</v>
      </c>
      <c r="F76" s="91"/>
      <c r="G76" s="93" t="s">
        <v>24</v>
      </c>
      <c r="H76" s="91"/>
      <c r="I76" s="14" t="s">
        <v>45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1" t="s">
        <v>61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24" t="s">
        <v>106</v>
      </c>
      <c r="AB76" s="23" t="s">
        <v>88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126">
        <v>45950.0</v>
      </c>
      <c r="C77" s="39" t="s">
        <v>55</v>
      </c>
      <c r="D77" s="39" t="s">
        <v>181</v>
      </c>
      <c r="E77" s="45" t="s">
        <v>43</v>
      </c>
      <c r="F77" s="91">
        <v>1.0</v>
      </c>
      <c r="G77" s="93" t="s">
        <v>24</v>
      </c>
      <c r="H77" s="91">
        <v>4.0</v>
      </c>
      <c r="I77" s="45" t="s">
        <v>88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1" t="s">
        <v>122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120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55</v>
      </c>
      <c r="D78" s="39" t="s">
        <v>181</v>
      </c>
      <c r="E78" s="17" t="s">
        <v>120</v>
      </c>
      <c r="F78" s="91">
        <v>7.0</v>
      </c>
      <c r="G78" s="93"/>
      <c r="H78" s="91">
        <v>2.0</v>
      </c>
      <c r="I78" s="45" t="s">
        <v>122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1" t="s">
        <v>32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122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126">
        <v>45979.0</v>
      </c>
      <c r="C79" s="12" t="s">
        <v>52</v>
      </c>
      <c r="D79" s="39" t="s">
        <v>181</v>
      </c>
      <c r="E79" s="17" t="s">
        <v>187</v>
      </c>
      <c r="F79" s="91">
        <v>1.0</v>
      </c>
      <c r="G79" s="93"/>
      <c r="H79" s="91">
        <v>12.0</v>
      </c>
      <c r="I79" s="17" t="s">
        <v>32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1" t="s">
        <v>43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187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126"/>
      <c r="C80" s="12"/>
      <c r="D80" s="39" t="s">
        <v>181</v>
      </c>
      <c r="E80" s="45" t="s">
        <v>122</v>
      </c>
      <c r="F80" s="15">
        <v>7.0</v>
      </c>
      <c r="G80" s="93" t="s">
        <v>24</v>
      </c>
      <c r="H80" s="91">
        <v>2.0</v>
      </c>
      <c r="I80" s="45" t="s">
        <v>61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1" t="s">
        <v>120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43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40">
        <v>45972.0</v>
      </c>
      <c r="C81" s="15" t="s">
        <v>53</v>
      </c>
      <c r="D81" s="39" t="s">
        <v>181</v>
      </c>
      <c r="E81" s="14" t="s">
        <v>45</v>
      </c>
      <c r="F81" s="15"/>
      <c r="G81" s="93" t="s">
        <v>24</v>
      </c>
      <c r="H81" s="91"/>
      <c r="I81" s="17" t="s">
        <v>43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1" t="s">
        <v>88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45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40">
        <v>45972.0</v>
      </c>
      <c r="C82" s="15" t="s">
        <v>52</v>
      </c>
      <c r="D82" s="39" t="s">
        <v>181</v>
      </c>
      <c r="E82" s="17" t="s">
        <v>88</v>
      </c>
      <c r="F82" s="15">
        <v>1.0</v>
      </c>
      <c r="G82" s="93" t="s">
        <v>24</v>
      </c>
      <c r="H82" s="91">
        <v>1.0</v>
      </c>
      <c r="I82" s="17" t="s">
        <v>120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1" t="s">
        <v>45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61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55</v>
      </c>
      <c r="D83" s="39" t="s">
        <v>181</v>
      </c>
      <c r="E83" s="17" t="s">
        <v>43</v>
      </c>
      <c r="F83" s="15">
        <v>3.0</v>
      </c>
      <c r="G83" s="93" t="s">
        <v>24</v>
      </c>
      <c r="H83" s="91">
        <v>3.0</v>
      </c>
      <c r="I83" s="17" t="s">
        <v>187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1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188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52</v>
      </c>
      <c r="D84" s="39" t="s">
        <v>181</v>
      </c>
      <c r="E84" s="17" t="s">
        <v>32</v>
      </c>
      <c r="F84" s="15">
        <v>4.0</v>
      </c>
      <c r="G84" s="93" t="s">
        <v>24</v>
      </c>
      <c r="H84" s="91">
        <v>0.0</v>
      </c>
      <c r="I84" s="17" t="s">
        <v>61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80" t="s">
        <v>96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128</v>
      </c>
      <c r="D85" s="39" t="s">
        <v>181</v>
      </c>
      <c r="E85" s="17" t="s">
        <v>120</v>
      </c>
      <c r="F85" s="91"/>
      <c r="G85" s="93" t="s">
        <v>24</v>
      </c>
      <c r="H85" s="91"/>
      <c r="I85" s="14" t="s">
        <v>45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128</v>
      </c>
      <c r="D86" s="39" t="s">
        <v>181</v>
      </c>
      <c r="E86" s="45" t="s">
        <v>122</v>
      </c>
      <c r="F86" s="91">
        <v>1.0</v>
      </c>
      <c r="G86" s="93" t="s">
        <v>24</v>
      </c>
      <c r="H86" s="91">
        <v>5.0</v>
      </c>
      <c r="I86" s="17" t="s">
        <v>88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55</v>
      </c>
      <c r="D87" s="39" t="s">
        <v>181</v>
      </c>
      <c r="E87" s="17" t="s">
        <v>187</v>
      </c>
      <c r="F87" s="91">
        <v>3.0</v>
      </c>
      <c r="G87" s="93" t="s">
        <v>24</v>
      </c>
      <c r="H87" s="91">
        <v>3.0</v>
      </c>
      <c r="I87" s="17" t="s">
        <v>120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55</v>
      </c>
      <c r="D88" s="39" t="s">
        <v>181</v>
      </c>
      <c r="E88" s="17" t="s">
        <v>61</v>
      </c>
      <c r="F88" s="91">
        <v>1.0</v>
      </c>
      <c r="G88" s="93" t="s">
        <v>24</v>
      </c>
      <c r="H88" s="91">
        <v>2.0</v>
      </c>
      <c r="I88" s="17" t="s">
        <v>43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55</v>
      </c>
      <c r="D89" s="39" t="s">
        <v>181</v>
      </c>
      <c r="E89" s="45" t="s">
        <v>32</v>
      </c>
      <c r="F89" s="91">
        <v>2.0</v>
      </c>
      <c r="G89" s="93" t="s">
        <v>24</v>
      </c>
      <c r="H89" s="91">
        <v>1.0</v>
      </c>
      <c r="I89" s="45" t="s">
        <v>122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41"/>
      <c r="C90" s="16"/>
      <c r="D90" s="16"/>
      <c r="E90" s="14" t="s">
        <v>45</v>
      </c>
      <c r="F90" s="142"/>
      <c r="G90" s="93" t="s">
        <v>24</v>
      </c>
      <c r="H90" s="142"/>
      <c r="I90" s="17" t="s">
        <v>88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43">
        <v>5.0</v>
      </c>
      <c r="B91" s="11">
        <v>46084.0</v>
      </c>
      <c r="C91" s="12" t="s">
        <v>52</v>
      </c>
      <c r="D91" s="39" t="s">
        <v>181</v>
      </c>
      <c r="E91" s="17" t="s">
        <v>88</v>
      </c>
      <c r="F91" s="91">
        <v>3.0</v>
      </c>
      <c r="G91" s="93" t="s">
        <v>24</v>
      </c>
      <c r="H91" s="91">
        <v>4.0</v>
      </c>
      <c r="I91" s="17" t="s">
        <v>187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53</v>
      </c>
      <c r="D92" s="39" t="s">
        <v>181</v>
      </c>
      <c r="E92" s="17" t="s">
        <v>120</v>
      </c>
      <c r="F92" s="91">
        <v>4.0</v>
      </c>
      <c r="G92" s="93" t="s">
        <v>24</v>
      </c>
      <c r="H92" s="91">
        <v>0.0</v>
      </c>
      <c r="I92" s="17" t="s">
        <v>61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52</v>
      </c>
      <c r="D93" s="39" t="s">
        <v>181</v>
      </c>
      <c r="E93" s="17" t="s">
        <v>43</v>
      </c>
      <c r="F93" s="91">
        <v>0.0</v>
      </c>
      <c r="G93" s="93" t="s">
        <v>24</v>
      </c>
      <c r="H93" s="91">
        <v>2.0</v>
      </c>
      <c r="I93" s="17" t="s">
        <v>32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5" t="s">
        <v>122</v>
      </c>
      <c r="F94" s="142"/>
      <c r="G94" s="93" t="s">
        <v>24</v>
      </c>
      <c r="H94" s="142"/>
      <c r="I94" s="14" t="s">
        <v>45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6">
        <v>6.0</v>
      </c>
      <c r="B95" s="141"/>
      <c r="C95" s="16"/>
      <c r="D95" s="139"/>
      <c r="E95" s="17" t="s">
        <v>187</v>
      </c>
      <c r="F95" s="142"/>
      <c r="G95" s="93" t="s">
        <v>24</v>
      </c>
      <c r="H95" s="142"/>
      <c r="I95" s="14" t="s">
        <v>45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75</v>
      </c>
      <c r="D96" s="39" t="s">
        <v>181</v>
      </c>
      <c r="E96" s="17" t="s">
        <v>61</v>
      </c>
      <c r="F96" s="91">
        <v>0.0</v>
      </c>
      <c r="G96" s="93" t="s">
        <v>24</v>
      </c>
      <c r="H96" s="91">
        <v>8.0</v>
      </c>
      <c r="I96" s="17" t="s">
        <v>88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127</v>
      </c>
      <c r="D97" s="39" t="s">
        <v>181</v>
      </c>
      <c r="E97" s="17" t="s">
        <v>32</v>
      </c>
      <c r="F97" s="91">
        <v>2.0</v>
      </c>
      <c r="G97" s="93" t="s">
        <v>24</v>
      </c>
      <c r="H97" s="91">
        <v>1.0</v>
      </c>
      <c r="I97" s="17" t="s">
        <v>120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53</v>
      </c>
      <c r="D98" s="39" t="s">
        <v>181</v>
      </c>
      <c r="E98" s="45" t="s">
        <v>43</v>
      </c>
      <c r="F98" s="91">
        <v>2.0</v>
      </c>
      <c r="G98" s="93" t="s">
        <v>24</v>
      </c>
      <c r="H98" s="91">
        <v>3.0</v>
      </c>
      <c r="I98" s="45" t="s">
        <v>122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6">
        <v>7.0</v>
      </c>
      <c r="B99" s="126">
        <v>46111.0</v>
      </c>
      <c r="C99" s="39" t="s">
        <v>52</v>
      </c>
      <c r="D99" s="39" t="s">
        <v>181</v>
      </c>
      <c r="E99" s="45" t="s">
        <v>122</v>
      </c>
      <c r="F99" s="91">
        <v>4.0</v>
      </c>
      <c r="G99" s="93" t="s">
        <v>24</v>
      </c>
      <c r="H99" s="91">
        <v>1.0</v>
      </c>
      <c r="I99" s="45" t="s">
        <v>187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41"/>
      <c r="C100" s="16"/>
      <c r="D100" s="139"/>
      <c r="E100" s="14" t="s">
        <v>45</v>
      </c>
      <c r="F100" s="142"/>
      <c r="G100" s="93" t="s">
        <v>24</v>
      </c>
      <c r="H100" s="142"/>
      <c r="I100" s="45" t="s">
        <v>61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52</v>
      </c>
      <c r="D101" s="39" t="s">
        <v>181</v>
      </c>
      <c r="E101" s="17" t="s">
        <v>88</v>
      </c>
      <c r="F101" s="91">
        <v>4.0</v>
      </c>
      <c r="G101" s="93" t="s">
        <v>24</v>
      </c>
      <c r="H101" s="91">
        <v>0.0</v>
      </c>
      <c r="I101" s="17" t="s">
        <v>32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55</v>
      </c>
      <c r="D102" s="39" t="s">
        <v>181</v>
      </c>
      <c r="E102" s="17" t="s">
        <v>120</v>
      </c>
      <c r="F102" s="91">
        <v>3.0</v>
      </c>
      <c r="G102" s="93" t="s">
        <v>24</v>
      </c>
      <c r="H102" s="91">
        <v>0.0</v>
      </c>
      <c r="I102" s="17" t="s">
        <v>43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3" t="s">
        <v>189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5" t="s">
        <v>1</v>
      </c>
      <c r="B110" s="5" t="s">
        <v>2</v>
      </c>
      <c r="C110" s="5" t="s">
        <v>3</v>
      </c>
      <c r="D110" s="5" t="s">
        <v>4</v>
      </c>
      <c r="E110" s="5" t="s">
        <v>5</v>
      </c>
      <c r="F110" s="6" t="s">
        <v>6</v>
      </c>
      <c r="G110" s="7"/>
      <c r="H110" s="8"/>
      <c r="I110" s="5" t="s">
        <v>7</v>
      </c>
      <c r="J110" s="9" t="s">
        <v>8</v>
      </c>
      <c r="K110" s="9" t="s">
        <v>9</v>
      </c>
      <c r="L110" s="9" t="s">
        <v>10</v>
      </c>
      <c r="M110" s="9"/>
      <c r="N110" s="9" t="s">
        <v>11</v>
      </c>
      <c r="O110" s="9" t="s">
        <v>12</v>
      </c>
      <c r="P110" s="9" t="s">
        <v>13</v>
      </c>
      <c r="Q110" s="9" t="s">
        <v>14</v>
      </c>
      <c r="R110" s="9" t="s">
        <v>15</v>
      </c>
      <c r="S110" s="9" t="s">
        <v>16</v>
      </c>
      <c r="T110" s="9" t="s">
        <v>17</v>
      </c>
      <c r="U110" s="9" t="s">
        <v>18</v>
      </c>
      <c r="V110" s="9" t="s">
        <v>19</v>
      </c>
      <c r="W110" s="2"/>
      <c r="X110" s="2"/>
      <c r="Y110" s="2"/>
      <c r="Z110" s="2"/>
      <c r="AA110" s="5" t="s">
        <v>11</v>
      </c>
      <c r="AB110" s="5" t="s">
        <v>12</v>
      </c>
      <c r="AC110" s="5" t="s">
        <v>13</v>
      </c>
      <c r="AD110" s="5" t="s">
        <v>14</v>
      </c>
      <c r="AE110" s="5" t="s">
        <v>15</v>
      </c>
      <c r="AF110" s="5" t="s">
        <v>16</v>
      </c>
      <c r="AG110" s="5" t="s">
        <v>17</v>
      </c>
      <c r="AH110" s="5" t="s">
        <v>18</v>
      </c>
      <c r="AI110" s="5" t="s">
        <v>19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126">
        <v>45953.0</v>
      </c>
      <c r="C111" s="39" t="s">
        <v>55</v>
      </c>
      <c r="D111" s="39" t="s">
        <v>181</v>
      </c>
      <c r="E111" s="17" t="s">
        <v>42</v>
      </c>
      <c r="F111" s="91">
        <v>1.0</v>
      </c>
      <c r="G111" s="93" t="s">
        <v>24</v>
      </c>
      <c r="H111" s="91">
        <v>3.0</v>
      </c>
      <c r="I111" s="17" t="s">
        <v>65</v>
      </c>
      <c r="J111" s="4"/>
      <c r="K111" s="4">
        <f t="shared" ref="K111:K160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1" t="s">
        <v>65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6" t="s">
        <v>29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126">
        <v>45953.0</v>
      </c>
      <c r="C112" s="39" t="s">
        <v>52</v>
      </c>
      <c r="D112" s="39" t="s">
        <v>181</v>
      </c>
      <c r="E112" s="17" t="s">
        <v>60</v>
      </c>
      <c r="F112" s="91">
        <v>7.0</v>
      </c>
      <c r="G112" s="93" t="s">
        <v>24</v>
      </c>
      <c r="H112" s="91">
        <v>0.0</v>
      </c>
      <c r="I112" s="17" t="s">
        <v>104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1" t="s">
        <v>42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24" t="s">
        <v>106</v>
      </c>
      <c r="AB112" s="23" t="s">
        <v>139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126">
        <v>45953.0</v>
      </c>
      <c r="C113" s="39" t="s">
        <v>53</v>
      </c>
      <c r="D113" s="39" t="s">
        <v>181</v>
      </c>
      <c r="E113" s="17" t="s">
        <v>151</v>
      </c>
      <c r="F113" s="91">
        <v>6.0</v>
      </c>
      <c r="G113" s="93" t="s">
        <v>24</v>
      </c>
      <c r="H113" s="91">
        <v>0.0</v>
      </c>
      <c r="I113" s="17" t="s">
        <v>64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1" t="s">
        <v>60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60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126">
        <v>45950.0</v>
      </c>
      <c r="C114" s="39" t="s">
        <v>52</v>
      </c>
      <c r="D114" s="39" t="s">
        <v>181</v>
      </c>
      <c r="E114" s="45" t="s">
        <v>31</v>
      </c>
      <c r="F114" s="91">
        <v>4.0</v>
      </c>
      <c r="G114" s="93" t="s">
        <v>24</v>
      </c>
      <c r="H114" s="91">
        <v>3.0</v>
      </c>
      <c r="I114" s="45" t="s">
        <v>139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1" t="s">
        <v>151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151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39"/>
      <c r="E115" s="17" t="s">
        <v>59</v>
      </c>
      <c r="F115" s="142"/>
      <c r="G115" s="93" t="s">
        <v>24</v>
      </c>
      <c r="H115" s="142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1" t="s">
        <v>31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42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126">
        <v>45971.0</v>
      </c>
      <c r="C116" s="12" t="s">
        <v>52</v>
      </c>
      <c r="D116" s="39" t="s">
        <v>181</v>
      </c>
      <c r="E116" s="45" t="s">
        <v>65</v>
      </c>
      <c r="F116" s="15">
        <v>0.0</v>
      </c>
      <c r="G116" s="93" t="s">
        <v>24</v>
      </c>
      <c r="H116" s="91">
        <v>7.0</v>
      </c>
      <c r="I116" s="45" t="s">
        <v>60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1" t="s">
        <v>59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64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8"/>
      <c r="C117" s="99"/>
      <c r="D117" s="95"/>
      <c r="E117" s="17">
        <v>0.0</v>
      </c>
      <c r="F117" s="16"/>
      <c r="G117" s="93" t="s">
        <v>24</v>
      </c>
      <c r="H117" s="142"/>
      <c r="I117" s="17" t="s">
        <v>42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1" t="s">
        <v>139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65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126">
        <v>45965.0</v>
      </c>
      <c r="C118" s="39" t="s">
        <v>55</v>
      </c>
      <c r="D118" s="39" t="s">
        <v>181</v>
      </c>
      <c r="E118" s="17" t="s">
        <v>104</v>
      </c>
      <c r="F118" s="15">
        <v>1.0</v>
      </c>
      <c r="G118" s="93" t="s">
        <v>24</v>
      </c>
      <c r="H118" s="91">
        <v>4.0</v>
      </c>
      <c r="I118" s="17" t="s">
        <v>151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1" t="s">
        <v>64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104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126">
        <v>45972.0</v>
      </c>
      <c r="C119" s="12" t="s">
        <v>55</v>
      </c>
      <c r="D119" s="39" t="s">
        <v>181</v>
      </c>
      <c r="E119" s="17" t="s">
        <v>64</v>
      </c>
      <c r="F119" s="15">
        <v>0.0</v>
      </c>
      <c r="G119" s="93" t="s">
        <v>24</v>
      </c>
      <c r="H119" s="91">
        <v>7.0</v>
      </c>
      <c r="I119" s="17" t="s">
        <v>31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1" t="s">
        <v>104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59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126">
        <v>45965.0</v>
      </c>
      <c r="C120" s="39" t="s">
        <v>52</v>
      </c>
      <c r="D120" s="39" t="s">
        <v>181</v>
      </c>
      <c r="E120" s="17" t="s">
        <v>139</v>
      </c>
      <c r="F120" s="15">
        <v>6.0</v>
      </c>
      <c r="G120" s="93" t="s">
        <v>24</v>
      </c>
      <c r="H120" s="91">
        <v>2.0</v>
      </c>
      <c r="I120" s="17" t="s">
        <v>59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44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190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55</v>
      </c>
      <c r="D121" s="39" t="s">
        <v>181</v>
      </c>
      <c r="E121" s="17" t="s">
        <v>151</v>
      </c>
      <c r="F121" s="91">
        <v>2.0</v>
      </c>
      <c r="G121" s="93" t="s">
        <v>24</v>
      </c>
      <c r="H121" s="91">
        <v>1.0</v>
      </c>
      <c r="I121" s="17" t="s">
        <v>65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80" t="s">
        <v>96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52</v>
      </c>
      <c r="D122" s="39" t="s">
        <v>181</v>
      </c>
      <c r="E122" s="45" t="s">
        <v>60</v>
      </c>
      <c r="F122" s="91">
        <v>7.0</v>
      </c>
      <c r="G122" s="93" t="s">
        <v>24</v>
      </c>
      <c r="H122" s="91">
        <v>0.0</v>
      </c>
      <c r="I122" s="45" t="s">
        <v>42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55</v>
      </c>
      <c r="D123" s="39" t="s">
        <v>181</v>
      </c>
      <c r="E123" s="17" t="s">
        <v>31</v>
      </c>
      <c r="F123" s="91">
        <v>4.0</v>
      </c>
      <c r="G123" s="93" t="s">
        <v>24</v>
      </c>
      <c r="H123" s="91">
        <v>3.0</v>
      </c>
      <c r="I123" s="17" t="s">
        <v>104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53</v>
      </c>
      <c r="D124" s="39" t="s">
        <v>181</v>
      </c>
      <c r="E124" s="17" t="s">
        <v>59</v>
      </c>
      <c r="F124" s="91">
        <v>2.0</v>
      </c>
      <c r="G124" s="93" t="s">
        <v>24</v>
      </c>
      <c r="H124" s="91">
        <v>3.0</v>
      </c>
      <c r="I124" s="17" t="s">
        <v>64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39"/>
      <c r="E125" s="45">
        <v>0.0</v>
      </c>
      <c r="F125" s="142"/>
      <c r="G125" s="93" t="s">
        <v>24</v>
      </c>
      <c r="H125" s="142"/>
      <c r="I125" s="45" t="s">
        <v>139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53</v>
      </c>
      <c r="D126" s="39" t="s">
        <v>181</v>
      </c>
      <c r="E126" s="17" t="s">
        <v>65</v>
      </c>
      <c r="F126" s="91">
        <v>3.0</v>
      </c>
      <c r="G126" s="93" t="s">
        <v>24</v>
      </c>
      <c r="H126" s="91">
        <v>5.0</v>
      </c>
      <c r="I126" s="17" t="s">
        <v>31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167</v>
      </c>
      <c r="D127" s="39" t="s">
        <v>181</v>
      </c>
      <c r="E127" s="17" t="s">
        <v>42</v>
      </c>
      <c r="F127" s="91">
        <v>0.0</v>
      </c>
      <c r="G127" s="93" t="s">
        <v>24</v>
      </c>
      <c r="H127" s="91">
        <v>8.0</v>
      </c>
      <c r="I127" s="17" t="s">
        <v>151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8"/>
      <c r="C128" s="95"/>
      <c r="D128" s="39" t="s">
        <v>181</v>
      </c>
      <c r="E128" s="17" t="s">
        <v>60</v>
      </c>
      <c r="F128" s="142"/>
      <c r="G128" s="93" t="s">
        <v>24</v>
      </c>
      <c r="H128" s="142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149</v>
      </c>
      <c r="D129" s="39" t="s">
        <v>181</v>
      </c>
      <c r="E129" s="17" t="s">
        <v>104</v>
      </c>
      <c r="F129" s="91">
        <v>2.0</v>
      </c>
      <c r="G129" s="93" t="s">
        <v>24</v>
      </c>
      <c r="H129" s="91">
        <v>2.0</v>
      </c>
      <c r="I129" s="17" t="s">
        <v>59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78">
        <v>29.0</v>
      </c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53</v>
      </c>
      <c r="D130" s="39" t="s">
        <v>181</v>
      </c>
      <c r="E130" s="45" t="s">
        <v>64</v>
      </c>
      <c r="F130" s="91">
        <v>0.0</v>
      </c>
      <c r="G130" s="93" t="s">
        <v>24</v>
      </c>
      <c r="H130" s="91">
        <v>4.0</v>
      </c>
      <c r="I130" s="45" t="s">
        <v>139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53</v>
      </c>
      <c r="D131" s="39" t="s">
        <v>181</v>
      </c>
      <c r="E131" s="17" t="s">
        <v>59</v>
      </c>
      <c r="F131" s="91">
        <v>0.0</v>
      </c>
      <c r="G131" s="93" t="s">
        <v>24</v>
      </c>
      <c r="H131" s="91">
        <v>6.0</v>
      </c>
      <c r="I131" s="17" t="s">
        <v>65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126">
        <v>46104.0</v>
      </c>
      <c r="C132" s="39" t="s">
        <v>52</v>
      </c>
      <c r="D132" s="39" t="s">
        <v>181</v>
      </c>
      <c r="E132" s="17" t="s">
        <v>31</v>
      </c>
      <c r="F132" s="91">
        <v>2.0</v>
      </c>
      <c r="G132" s="93" t="s">
        <v>24</v>
      </c>
      <c r="H132" s="91">
        <v>1.0</v>
      </c>
      <c r="I132" s="17" t="s">
        <v>42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53</v>
      </c>
      <c r="D133" s="39" t="s">
        <v>181</v>
      </c>
      <c r="E133" s="17" t="s">
        <v>151</v>
      </c>
      <c r="F133" s="91">
        <v>1.0</v>
      </c>
      <c r="G133" s="93" t="s">
        <v>24</v>
      </c>
      <c r="H133" s="91">
        <v>4.0</v>
      </c>
      <c r="I133" s="17" t="s">
        <v>60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52</v>
      </c>
      <c r="D134" s="39" t="s">
        <v>181</v>
      </c>
      <c r="E134" s="45" t="s">
        <v>139</v>
      </c>
      <c r="F134" s="91">
        <v>6.0</v>
      </c>
      <c r="G134" s="93" t="s">
        <v>24</v>
      </c>
      <c r="H134" s="91">
        <v>3.0</v>
      </c>
      <c r="I134" s="45" t="s">
        <v>104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41"/>
      <c r="C135" s="31"/>
      <c r="D135" s="139"/>
      <c r="E135" s="45">
        <v>0.0</v>
      </c>
      <c r="F135" s="142"/>
      <c r="G135" s="93" t="s">
        <v>24</v>
      </c>
      <c r="H135" s="142"/>
      <c r="I135" s="45" t="s">
        <v>64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126">
        <v>46097.0</v>
      </c>
      <c r="C136" s="39" t="s">
        <v>55</v>
      </c>
      <c r="D136" s="39" t="s">
        <v>181</v>
      </c>
      <c r="E136" s="45" t="s">
        <v>65</v>
      </c>
      <c r="F136" s="91">
        <v>1.0</v>
      </c>
      <c r="G136" s="93" t="s">
        <v>24</v>
      </c>
      <c r="H136" s="91">
        <v>4.0</v>
      </c>
      <c r="I136" s="45" t="s">
        <v>139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126">
        <v>46100.0</v>
      </c>
      <c r="C137" s="39" t="s">
        <v>55</v>
      </c>
      <c r="D137" s="39" t="s">
        <v>181</v>
      </c>
      <c r="E137" s="17" t="s">
        <v>42</v>
      </c>
      <c r="F137" s="91">
        <v>3.0</v>
      </c>
      <c r="G137" s="93" t="s">
        <v>24</v>
      </c>
      <c r="H137" s="91">
        <v>1.0</v>
      </c>
      <c r="I137" s="17" t="s">
        <v>59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126">
        <v>46100.0</v>
      </c>
      <c r="C138" s="39" t="s">
        <v>52</v>
      </c>
      <c r="D138" s="39" t="s">
        <v>181</v>
      </c>
      <c r="E138" s="17" t="s">
        <v>60</v>
      </c>
      <c r="F138" s="91">
        <v>3.0</v>
      </c>
      <c r="G138" s="93" t="s">
        <v>24</v>
      </c>
      <c r="H138" s="91">
        <v>4.0</v>
      </c>
      <c r="I138" s="17" t="s">
        <v>31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8"/>
      <c r="C139" s="95"/>
      <c r="D139" s="95"/>
      <c r="E139" s="17" t="s">
        <v>151</v>
      </c>
      <c r="F139" s="142"/>
      <c r="G139" s="93" t="s">
        <v>24</v>
      </c>
      <c r="H139" s="142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126">
        <v>46097.0</v>
      </c>
      <c r="C140" s="39" t="s">
        <v>53</v>
      </c>
      <c r="D140" s="39" t="s">
        <v>181</v>
      </c>
      <c r="E140" s="17" t="s">
        <v>104</v>
      </c>
      <c r="F140" s="91">
        <v>0.0</v>
      </c>
      <c r="G140" s="93" t="s">
        <v>24</v>
      </c>
      <c r="H140" s="91">
        <v>7.0</v>
      </c>
      <c r="I140" s="17" t="s">
        <v>64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126">
        <v>46106.0</v>
      </c>
      <c r="C141" s="39" t="s">
        <v>53</v>
      </c>
      <c r="D141" s="39" t="s">
        <v>181</v>
      </c>
      <c r="E141" s="17" t="s">
        <v>64</v>
      </c>
      <c r="F141" s="91">
        <v>2.0</v>
      </c>
      <c r="G141" s="93" t="s">
        <v>24</v>
      </c>
      <c r="H141" s="91">
        <v>1.0</v>
      </c>
      <c r="I141" s="17" t="s">
        <v>65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126">
        <v>46111.0</v>
      </c>
      <c r="C142" s="39" t="s">
        <v>55</v>
      </c>
      <c r="D142" s="39" t="s">
        <v>181</v>
      </c>
      <c r="E142" s="17" t="s">
        <v>139</v>
      </c>
      <c r="F142" s="91">
        <v>8.0</v>
      </c>
      <c r="G142" s="93" t="s">
        <v>24</v>
      </c>
      <c r="H142" s="91">
        <v>1.0</v>
      </c>
      <c r="I142" s="17" t="s">
        <v>42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126">
        <v>46104.0</v>
      </c>
      <c r="C143" s="39" t="s">
        <v>53</v>
      </c>
      <c r="D143" s="39" t="s">
        <v>181</v>
      </c>
      <c r="E143" s="17" t="s">
        <v>59</v>
      </c>
      <c r="F143" s="91">
        <v>0.0</v>
      </c>
      <c r="G143" s="93" t="s">
        <v>24</v>
      </c>
      <c r="H143" s="91">
        <v>1.0</v>
      </c>
      <c r="I143" s="17" t="s">
        <v>60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126">
        <v>46111.0</v>
      </c>
      <c r="C144" s="39" t="s">
        <v>53</v>
      </c>
      <c r="D144" s="39" t="s">
        <v>181</v>
      </c>
      <c r="E144" s="17" t="s">
        <v>31</v>
      </c>
      <c r="F144" s="91">
        <v>7.0</v>
      </c>
      <c r="G144" s="93" t="s">
        <v>24</v>
      </c>
      <c r="H144" s="91">
        <v>1.0</v>
      </c>
      <c r="I144" s="17" t="s">
        <v>151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39"/>
      <c r="E145" s="17">
        <v>0.0</v>
      </c>
      <c r="F145" s="142"/>
      <c r="G145" s="93" t="s">
        <v>24</v>
      </c>
      <c r="H145" s="142"/>
      <c r="I145" s="17" t="s">
        <v>104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128</v>
      </c>
      <c r="D146" s="39" t="s">
        <v>181</v>
      </c>
      <c r="E146" s="17" t="s">
        <v>65</v>
      </c>
      <c r="F146" s="91">
        <v>2.0</v>
      </c>
      <c r="G146" s="93" t="s">
        <v>24</v>
      </c>
      <c r="H146" s="91">
        <v>2.0</v>
      </c>
      <c r="I146" s="17" t="s">
        <v>104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74</v>
      </c>
      <c r="D147" s="39" t="s">
        <v>181</v>
      </c>
      <c r="E147" s="17" t="s">
        <v>42</v>
      </c>
      <c r="F147" s="91">
        <v>14.0</v>
      </c>
      <c r="G147" s="93" t="s">
        <v>24</v>
      </c>
      <c r="H147" s="91">
        <v>0.0</v>
      </c>
      <c r="I147" s="17" t="s">
        <v>64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55</v>
      </c>
      <c r="D148" s="39" t="s">
        <v>181</v>
      </c>
      <c r="E148" s="17" t="s">
        <v>60</v>
      </c>
      <c r="F148" s="91">
        <v>1.0</v>
      </c>
      <c r="G148" s="93" t="s">
        <v>24</v>
      </c>
      <c r="H148" s="91">
        <v>6.0</v>
      </c>
      <c r="I148" s="17" t="s">
        <v>139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52</v>
      </c>
      <c r="D149" s="39" t="s">
        <v>181</v>
      </c>
      <c r="E149" s="17" t="s">
        <v>151</v>
      </c>
      <c r="F149" s="91">
        <v>3.0</v>
      </c>
      <c r="G149" s="93" t="s">
        <v>24</v>
      </c>
      <c r="H149" s="91">
        <v>0.0</v>
      </c>
      <c r="I149" s="17" t="s">
        <v>59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39"/>
      <c r="E150" s="17" t="s">
        <v>31</v>
      </c>
      <c r="F150" s="142"/>
      <c r="G150" s="93" t="s">
        <v>24</v>
      </c>
      <c r="H150" s="142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39"/>
      <c r="E151" s="17">
        <v>0.0</v>
      </c>
      <c r="F151" s="142"/>
      <c r="G151" s="93" t="s">
        <v>24</v>
      </c>
      <c r="H151" s="142"/>
      <c r="I151" s="17" t="s">
        <v>65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126">
        <v>46134.0</v>
      </c>
      <c r="C152" s="39" t="s">
        <v>53</v>
      </c>
      <c r="D152" s="39" t="s">
        <v>181</v>
      </c>
      <c r="E152" s="17" t="s">
        <v>104</v>
      </c>
      <c r="F152" s="91">
        <v>2.0</v>
      </c>
      <c r="G152" s="93" t="s">
        <v>24</v>
      </c>
      <c r="H152" s="91">
        <v>9.0</v>
      </c>
      <c r="I152" s="17" t="s">
        <v>42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126">
        <v>46134.0</v>
      </c>
      <c r="C153" s="39" t="s">
        <v>55</v>
      </c>
      <c r="D153" s="39" t="s">
        <v>181</v>
      </c>
      <c r="E153" s="17" t="s">
        <v>64</v>
      </c>
      <c r="F153" s="91">
        <v>6.0</v>
      </c>
      <c r="G153" s="93" t="s">
        <v>24</v>
      </c>
      <c r="H153" s="91">
        <v>11.0</v>
      </c>
      <c r="I153" s="17" t="s">
        <v>60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126">
        <v>46133.0</v>
      </c>
      <c r="C154" s="39" t="s">
        <v>53</v>
      </c>
      <c r="D154" s="39" t="s">
        <v>181</v>
      </c>
      <c r="E154" s="17" t="s">
        <v>139</v>
      </c>
      <c r="F154" s="91">
        <v>2.0</v>
      </c>
      <c r="G154" s="93" t="s">
        <v>24</v>
      </c>
      <c r="H154" s="91">
        <v>1.0</v>
      </c>
      <c r="I154" s="17" t="s">
        <v>151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126">
        <v>46134.0</v>
      </c>
      <c r="C155" s="39" t="s">
        <v>52</v>
      </c>
      <c r="D155" s="39" t="s">
        <v>181</v>
      </c>
      <c r="E155" s="17" t="s">
        <v>59</v>
      </c>
      <c r="F155" s="91">
        <v>2.0</v>
      </c>
      <c r="G155" s="93" t="s">
        <v>24</v>
      </c>
      <c r="H155" s="91">
        <v>9.0</v>
      </c>
      <c r="I155" s="17" t="s">
        <v>31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37"/>
      <c r="K156" s="4" t="str">
        <f t="shared" si="19"/>
        <v/>
      </c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37"/>
      <c r="K157" s="4" t="str">
        <f t="shared" si="19"/>
        <v/>
      </c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37"/>
      <c r="K158" s="4" t="str">
        <f t="shared" si="19"/>
        <v/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37"/>
      <c r="K159" s="4" t="str">
        <f t="shared" si="19"/>
        <v/>
      </c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" t="s">
        <v>191</v>
      </c>
      <c r="H160" s="2"/>
      <c r="I160" s="3"/>
      <c r="J160" s="64"/>
      <c r="K160" s="4" t="str">
        <f t="shared" si="19"/>
        <v/>
      </c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 s="6" t="s">
        <v>6</v>
      </c>
      <c r="G161" s="7"/>
      <c r="H161" s="8"/>
      <c r="I161" s="5" t="s">
        <v>7</v>
      </c>
      <c r="J161" s="9" t="s">
        <v>8</v>
      </c>
      <c r="K161" s="9" t="s">
        <v>9</v>
      </c>
      <c r="L161" s="9" t="s">
        <v>10</v>
      </c>
      <c r="M161" s="9"/>
      <c r="N161" s="9" t="s">
        <v>11</v>
      </c>
      <c r="O161" s="9" t="s">
        <v>12</v>
      </c>
      <c r="P161" s="9" t="s">
        <v>13</v>
      </c>
      <c r="Q161" s="9" t="s">
        <v>14</v>
      </c>
      <c r="R161" s="9" t="s">
        <v>15</v>
      </c>
      <c r="S161" s="9" t="s">
        <v>16</v>
      </c>
      <c r="T161" s="9" t="s">
        <v>81</v>
      </c>
      <c r="U161" s="9" t="s">
        <v>82</v>
      </c>
      <c r="V161" s="9" t="s">
        <v>83</v>
      </c>
      <c r="W161" s="64"/>
      <c r="X161" s="64"/>
      <c r="Y161" s="64"/>
      <c r="Z161" s="64"/>
      <c r="AA161" s="5" t="s">
        <v>11</v>
      </c>
      <c r="AB161" s="5" t="s">
        <v>12</v>
      </c>
      <c r="AC161" s="5" t="s">
        <v>13</v>
      </c>
      <c r="AD161" s="5" t="s">
        <v>14</v>
      </c>
      <c r="AE161" s="5" t="s">
        <v>15</v>
      </c>
      <c r="AF161" s="5" t="s">
        <v>16</v>
      </c>
      <c r="AG161" s="5" t="s">
        <v>17</v>
      </c>
      <c r="AH161" s="5" t="s">
        <v>18</v>
      </c>
      <c r="AI161" s="5" t="s">
        <v>19</v>
      </c>
      <c r="AJ161" s="5" t="s">
        <v>81</v>
      </c>
      <c r="AK161" s="5" t="s">
        <v>82</v>
      </c>
      <c r="AL161" s="5" t="s">
        <v>83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3">
        <v>1.0</v>
      </c>
      <c r="B162" s="44">
        <v>46155.0</v>
      </c>
      <c r="C162" s="12" t="s">
        <v>55</v>
      </c>
      <c r="D162" s="12" t="s">
        <v>181</v>
      </c>
      <c r="E162" s="28" t="s">
        <v>102</v>
      </c>
      <c r="F162" s="13">
        <v>3.0</v>
      </c>
      <c r="G162" s="16" t="s">
        <v>24</v>
      </c>
      <c r="H162" s="13">
        <v>1.0</v>
      </c>
      <c r="I162" s="45" t="s">
        <v>88</v>
      </c>
      <c r="J162" s="4"/>
      <c r="K162" s="4">
        <f t="shared" ref="K162:K164" si="28">IF(F162="","",IFS(F162&gt;H162,3,F162=H162,1,H162&gt;F162,0,F162="",0))</f>
        <v>3</v>
      </c>
      <c r="L162" s="18">
        <f t="shared" ref="L162:L164" si="29">IF(H162="","",IFS(F162&lt;H162,3,F162=H162,1,H162&lt;F162,0))</f>
        <v>0</v>
      </c>
      <c r="M162" s="4"/>
      <c r="N162" s="18">
        <v>1.0</v>
      </c>
      <c r="O162" s="78" t="s">
        <v>102</v>
      </c>
      <c r="P162" s="18">
        <f t="shared" ref="P162:P164" si="30">SUMIF(E$162:E$164,O162,K$162:K$164)+SUMIF(I$162:I$164,O162,L$162:L$164)</f>
        <v>3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1</v>
      </c>
      <c r="T162" s="18">
        <f t="shared" ref="T162:T164" si="34">SUMIF(E$162:E$164,O162,F$162:F$164)+SUMIF(I$162:I$164,O162,H$162:H$164)</f>
        <v>4</v>
      </c>
      <c r="U162" s="20">
        <f t="shared" ref="U162:U164" si="35">SUMIF(E$162:E$164,O162,H$162:H$164)+SUMIF(I$162:I$164,O162,F$162:F$164)</f>
        <v>7</v>
      </c>
      <c r="V162" s="18">
        <f t="shared" ref="V162:V164" si="36">T162-U162</f>
        <v>-3</v>
      </c>
      <c r="W162" s="64"/>
      <c r="X162" s="64"/>
      <c r="Y162" s="64"/>
      <c r="Z162" s="64"/>
      <c r="AA162" s="104">
        <v>1.0</v>
      </c>
      <c r="AB162" s="71" t="str">
        <f t="array" ref="AB162:AJ164">SORT(O162:X164,2,FALSE,9,FALSE,8,FALSE())</f>
        <v>CBM</v>
      </c>
      <c r="AC162" s="23">
        <v>6.0</v>
      </c>
      <c r="AD162" s="23">
        <v>0.0</v>
      </c>
      <c r="AE162" s="24">
        <v>0.0</v>
      </c>
      <c r="AF162" s="24">
        <v>0.0</v>
      </c>
      <c r="AG162" s="23">
        <v>9.0</v>
      </c>
      <c r="AH162" s="24">
        <v>3.0</v>
      </c>
      <c r="AI162" s="23">
        <v>6.0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3">
        <v>2.0</v>
      </c>
      <c r="B163" s="145">
        <v>46162.0</v>
      </c>
      <c r="C163" s="12" t="s">
        <v>55</v>
      </c>
      <c r="D163" s="12" t="s">
        <v>181</v>
      </c>
      <c r="E163" s="45" t="s">
        <v>88</v>
      </c>
      <c r="F163" s="13">
        <v>2.0</v>
      </c>
      <c r="G163" s="16" t="s">
        <v>24</v>
      </c>
      <c r="H163" s="13">
        <v>3.0</v>
      </c>
      <c r="I163" s="45" t="s">
        <v>139</v>
      </c>
      <c r="J163" s="4"/>
      <c r="K163" s="4">
        <f t="shared" si="28"/>
        <v>0</v>
      </c>
      <c r="L163" s="18">
        <f t="shared" si="29"/>
        <v>3</v>
      </c>
      <c r="M163" s="4"/>
      <c r="N163" s="18">
        <v>2.0</v>
      </c>
      <c r="O163" s="146" t="s">
        <v>88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2</v>
      </c>
      <c r="T163" s="18">
        <f t="shared" si="34"/>
        <v>3</v>
      </c>
      <c r="U163" s="20">
        <f t="shared" si="35"/>
        <v>6</v>
      </c>
      <c r="V163" s="18">
        <f t="shared" si="36"/>
        <v>-3</v>
      </c>
      <c r="W163" s="64"/>
      <c r="X163" s="64"/>
      <c r="Y163" s="64"/>
      <c r="Z163" s="64"/>
      <c r="AA163" s="104">
        <v>2.0</v>
      </c>
      <c r="AB163" s="71" t="s">
        <v>102</v>
      </c>
      <c r="AC163" s="23">
        <v>3.0</v>
      </c>
      <c r="AD163" s="23">
        <v>0.0</v>
      </c>
      <c r="AE163" s="24">
        <v>0.0</v>
      </c>
      <c r="AF163" s="24">
        <v>1.0</v>
      </c>
      <c r="AG163" s="23">
        <v>4.0</v>
      </c>
      <c r="AH163" s="24">
        <v>7.0</v>
      </c>
      <c r="AI163" s="23">
        <v>-3.0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3">
        <v>3.0</v>
      </c>
      <c r="B164" s="44">
        <v>46170.0</v>
      </c>
      <c r="C164" s="12" t="s">
        <v>55</v>
      </c>
      <c r="D164" s="12" t="s">
        <v>181</v>
      </c>
      <c r="E164" s="45" t="s">
        <v>139</v>
      </c>
      <c r="F164" s="13">
        <v>6.0</v>
      </c>
      <c r="G164" s="16" t="s">
        <v>24</v>
      </c>
      <c r="H164" s="13">
        <v>1.0</v>
      </c>
      <c r="I164" s="28" t="s">
        <v>102</v>
      </c>
      <c r="J164" s="4"/>
      <c r="K164" s="4">
        <f t="shared" si="28"/>
        <v>3</v>
      </c>
      <c r="L164" s="18">
        <f t="shared" si="29"/>
        <v>0</v>
      </c>
      <c r="M164" s="4"/>
      <c r="N164" s="18">
        <v>3.0</v>
      </c>
      <c r="O164" s="78" t="s">
        <v>139</v>
      </c>
      <c r="P164" s="18">
        <f t="shared" si="30"/>
        <v>6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9</v>
      </c>
      <c r="U164" s="20">
        <f t="shared" si="35"/>
        <v>3</v>
      </c>
      <c r="V164" s="18">
        <f t="shared" si="36"/>
        <v>6</v>
      </c>
      <c r="W164" s="64"/>
      <c r="X164" s="64"/>
      <c r="Y164" s="64"/>
      <c r="Z164" s="64"/>
      <c r="AA164" s="22">
        <v>3.0</v>
      </c>
      <c r="AB164" s="71" t="s">
        <v>88</v>
      </c>
      <c r="AC164" s="23">
        <v>0.0</v>
      </c>
      <c r="AD164" s="23">
        <v>0.0</v>
      </c>
      <c r="AE164" s="24">
        <v>0.0</v>
      </c>
      <c r="AF164" s="24">
        <v>2.0</v>
      </c>
      <c r="AG164" s="23">
        <v>3.0</v>
      </c>
      <c r="AH164" s="24">
        <v>6.0</v>
      </c>
      <c r="AI164" s="23">
        <v>-3.0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64"/>
      <c r="C165" s="64"/>
      <c r="D165" s="64"/>
      <c r="E165" s="37"/>
      <c r="F165" s="64"/>
      <c r="G165" s="64"/>
      <c r="H165" s="64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64"/>
      <c r="C166" s="64"/>
      <c r="D166" s="64"/>
      <c r="E166" s="37"/>
      <c r="F166" s="64"/>
      <c r="G166" s="64"/>
      <c r="H166" s="64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64"/>
      <c r="C167" s="64"/>
      <c r="D167" s="64"/>
      <c r="E167" s="37"/>
      <c r="F167" s="64"/>
      <c r="G167" s="64"/>
      <c r="H167" s="64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64"/>
      <c r="C168" s="64"/>
      <c r="D168" s="64"/>
      <c r="E168" s="37"/>
      <c r="F168" s="64"/>
      <c r="G168" s="64"/>
      <c r="H168" s="64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" t="s">
        <v>192</v>
      </c>
      <c r="H169" s="2"/>
      <c r="I169" s="3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6" t="s">
        <v>6</v>
      </c>
      <c r="G170" s="7"/>
      <c r="H170" s="8"/>
      <c r="I170" s="5" t="s">
        <v>7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8" t="s">
        <v>72</v>
      </c>
      <c r="B171" s="44">
        <v>46155.0</v>
      </c>
      <c r="C171" s="12" t="s">
        <v>52</v>
      </c>
      <c r="D171" s="12" t="s">
        <v>181</v>
      </c>
      <c r="E171" s="45" t="s">
        <v>23</v>
      </c>
      <c r="F171" s="13">
        <v>4.0</v>
      </c>
      <c r="G171" s="16" t="s">
        <v>24</v>
      </c>
      <c r="H171" s="13">
        <v>0.0</v>
      </c>
      <c r="I171" s="17" t="s">
        <v>32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4">
        <v>46155.0</v>
      </c>
      <c r="C172" s="12" t="s">
        <v>53</v>
      </c>
      <c r="D172" s="12" t="s">
        <v>181</v>
      </c>
      <c r="E172" s="28" t="s">
        <v>25</v>
      </c>
      <c r="F172" s="13">
        <v>4.0</v>
      </c>
      <c r="G172" s="16" t="s">
        <v>24</v>
      </c>
      <c r="H172" s="13">
        <v>2.0</v>
      </c>
      <c r="I172" s="17" t="s">
        <v>31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4">
        <v>46156.0</v>
      </c>
      <c r="C173" s="12" t="s">
        <v>55</v>
      </c>
      <c r="D173" s="12" t="s">
        <v>181</v>
      </c>
      <c r="E173" s="28" t="s">
        <v>33</v>
      </c>
      <c r="F173" s="13">
        <v>4.0</v>
      </c>
      <c r="G173" s="16" t="s">
        <v>24</v>
      </c>
      <c r="H173" s="13">
        <v>0.0</v>
      </c>
      <c r="I173" s="28" t="s">
        <v>36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4">
        <v>46156.0</v>
      </c>
      <c r="C174" s="12" t="s">
        <v>52</v>
      </c>
      <c r="D174" s="12" t="s">
        <v>181</v>
      </c>
      <c r="E174" s="28" t="s">
        <v>105</v>
      </c>
      <c r="F174" s="13">
        <v>3.0</v>
      </c>
      <c r="G174" s="16" t="s">
        <v>24</v>
      </c>
      <c r="H174" s="13">
        <v>1.0</v>
      </c>
      <c r="I174" s="28" t="s">
        <v>37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9" t="s">
        <v>73</v>
      </c>
      <c r="B175" s="44">
        <v>46162.0</v>
      </c>
      <c r="C175" s="12" t="s">
        <v>52</v>
      </c>
      <c r="D175" s="39" t="s">
        <v>181</v>
      </c>
      <c r="E175" s="45" t="s">
        <v>23</v>
      </c>
      <c r="F175" s="13">
        <v>2.0</v>
      </c>
      <c r="G175" s="16" t="s">
        <v>24</v>
      </c>
      <c r="H175" s="13">
        <v>1.0</v>
      </c>
      <c r="I175" s="28" t="s">
        <v>105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44">
        <v>46162.0</v>
      </c>
      <c r="C176" s="12" t="s">
        <v>53</v>
      </c>
      <c r="D176" s="39" t="s">
        <v>181</v>
      </c>
      <c r="E176" s="28" t="s">
        <v>25</v>
      </c>
      <c r="F176" s="13">
        <v>0.0</v>
      </c>
      <c r="G176" s="16" t="s">
        <v>24</v>
      </c>
      <c r="H176" s="13">
        <v>4.0</v>
      </c>
      <c r="I176" s="28" t="s">
        <v>33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61" t="s">
        <v>76</v>
      </c>
      <c r="B177" s="11">
        <v>46170.0</v>
      </c>
      <c r="C177" s="12" t="s">
        <v>52</v>
      </c>
      <c r="D177" s="12" t="s">
        <v>181</v>
      </c>
      <c r="E177" s="45" t="s">
        <v>105</v>
      </c>
      <c r="F177" s="13">
        <v>3.0</v>
      </c>
      <c r="G177" s="16" t="s">
        <v>24</v>
      </c>
      <c r="H177" s="13">
        <v>0.0</v>
      </c>
      <c r="I177" s="62" t="s">
        <v>25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61" t="s">
        <v>79</v>
      </c>
      <c r="B178" s="11">
        <v>46176.0</v>
      </c>
      <c r="C178" s="12" t="s">
        <v>113</v>
      </c>
      <c r="D178" s="12" t="s">
        <v>181</v>
      </c>
      <c r="E178" s="45" t="s">
        <v>23</v>
      </c>
      <c r="F178" s="13">
        <v>2.0</v>
      </c>
      <c r="G178" s="16" t="s">
        <v>24</v>
      </c>
      <c r="H178" s="13">
        <v>4.0</v>
      </c>
      <c r="I178" s="45" t="s">
        <v>33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64"/>
      <c r="C179" s="64"/>
      <c r="D179" s="64"/>
      <c r="E179" s="37"/>
      <c r="F179" s="64"/>
      <c r="G179" s="64"/>
      <c r="H179" s="64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64"/>
      <c r="C184" s="64"/>
      <c r="D184" s="64"/>
      <c r="E184" s="37"/>
      <c r="F184" s="64"/>
      <c r="G184" s="64"/>
      <c r="H184" s="64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64"/>
      <c r="C185" s="64"/>
      <c r="D185" s="64"/>
      <c r="E185" s="37"/>
      <c r="F185" s="64"/>
      <c r="G185" s="64"/>
      <c r="H185" s="64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64"/>
      <c r="C186" s="64"/>
      <c r="D186" s="64"/>
      <c r="E186" s="37"/>
      <c r="F186" s="64"/>
      <c r="G186" s="64"/>
      <c r="H186" s="64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64"/>
      <c r="C187" s="64"/>
      <c r="D187" s="64"/>
      <c r="E187" s="37"/>
      <c r="F187" s="64"/>
      <c r="G187" s="64"/>
      <c r="H187" s="64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64"/>
      <c r="C188" s="64"/>
      <c r="D188" s="64"/>
      <c r="E188" s="37"/>
      <c r="F188" s="64"/>
      <c r="G188" s="64"/>
      <c r="H188" s="64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64"/>
      <c r="C189" s="64"/>
      <c r="D189" s="64"/>
      <c r="E189" s="37"/>
      <c r="F189" s="64"/>
      <c r="G189" s="64"/>
      <c r="H189" s="64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102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102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102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102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102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102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102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102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102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102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102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102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102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102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102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102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102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102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102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102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102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102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102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102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102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102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102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102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102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102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102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102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102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102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102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102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102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102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102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102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102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102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102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102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102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102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102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102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102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102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102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102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102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102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102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102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102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102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102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102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16:AC16"/>
    <mergeCell ref="AD16:AE23"/>
    <mergeCell ref="AA17:AC24"/>
    <mergeCell ref="AA83:AC83"/>
    <mergeCell ref="AA84:AC84"/>
    <mergeCell ref="AA85:AC92"/>
    <mergeCell ref="AD85:AE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47" t="s">
        <v>193</v>
      </c>
      <c r="I1" s="148"/>
      <c r="AA1" s="3"/>
      <c r="AB1" s="148"/>
      <c r="AC1" s="3"/>
      <c r="AD1" s="3"/>
      <c r="AE1" s="3"/>
      <c r="AF1" s="3"/>
      <c r="AG1" s="3"/>
      <c r="AH1" s="3"/>
      <c r="AI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194</v>
      </c>
      <c r="U2" s="9" t="s">
        <v>195</v>
      </c>
      <c r="V2" s="9" t="s">
        <v>196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194</v>
      </c>
      <c r="AH2" s="5" t="s">
        <v>195</v>
      </c>
      <c r="AI2" s="5" t="s">
        <v>196</v>
      </c>
    </row>
    <row r="3" ht="15.75" customHeight="1">
      <c r="A3" s="10">
        <v>1.0</v>
      </c>
      <c r="B3" s="11">
        <v>45946.0</v>
      </c>
      <c r="C3" s="12" t="s">
        <v>49</v>
      </c>
      <c r="D3" s="12" t="s">
        <v>22</v>
      </c>
      <c r="E3" s="17" t="s">
        <v>23</v>
      </c>
      <c r="F3" s="13">
        <v>1.0</v>
      </c>
      <c r="G3" s="31" t="s">
        <v>24</v>
      </c>
      <c r="H3" s="13">
        <v>2.0</v>
      </c>
      <c r="I3" s="17" t="s">
        <v>25</v>
      </c>
      <c r="J3" s="149"/>
      <c r="K3" s="150">
        <f t="shared" ref="K3:K68" si="1">IFS(F3=H3+2,3,F3=H3-2,0,F3=H3+1,2,F3=H3-1,1,F3="","")</f>
        <v>1</v>
      </c>
      <c r="L3" s="151">
        <f t="shared" ref="L3:L68" si="2">IFS(H3=F3+2,3,H3=F3-2,0,H3=F3+1,2,H3=F3-1,1,H3="","")</f>
        <v>2</v>
      </c>
      <c r="M3" s="149"/>
      <c r="N3" s="151">
        <v>1.0</v>
      </c>
      <c r="O3" s="152" t="s">
        <v>23</v>
      </c>
      <c r="P3" s="151">
        <f t="shared" ref="P3:P14" si="3">SUMIF(E$3:E$68,O3,K$3:K$68)+SUMIF(I$3:I$68,O3,L$3:L$68)</f>
        <v>29</v>
      </c>
      <c r="Q3" s="153">
        <f t="shared" ref="Q3:Q14" si="4">COUNTIFS(E$3:E$68,O3,K$3:K$68,2)+COUNTIFS(I$3:I$68,O3,L$3:L$68,2)+COUNTIFS(E$3:E$68,O3,K$3:K$68,3)+COUNTIFS(I$3:I$68,O3,L$3:L$68,3)</f>
        <v>10</v>
      </c>
      <c r="R3" s="153"/>
      <c r="S3" s="154">
        <f t="shared" ref="S3:S14" si="5">COUNTIFS(E$3:E$68,O3,K$3:K$68,1)+COUNTIFS(I$3:I$68,O3,L$3:L$68,1)+COUNTIFS(E$3:E$68,O3,K$3:K$68,0)+COUNTIFS(I$3:I$68,O3,L$3:L$68,0)</f>
        <v>1</v>
      </c>
      <c r="T3" s="151">
        <f t="shared" ref="T3:T14" si="6">SUMIF(E$3:E$68,O3,F$3:F$68)+SUMIF(I$3:I$68,O3,H$3:H$68)</f>
        <v>21</v>
      </c>
      <c r="U3" s="154">
        <f t="shared" ref="U3:U14" si="7">SUMIF(E$3:E$68,O3,H$3:H$68)+SUMIF(I$3:I$68,O3,F$3:F$68)</f>
        <v>4</v>
      </c>
      <c r="V3" s="151">
        <f t="shared" ref="V3:V14" si="8">T3-U3</f>
        <v>17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49</v>
      </c>
      <c r="D4" s="12" t="s">
        <v>22</v>
      </c>
      <c r="E4" s="17" t="s">
        <v>31</v>
      </c>
      <c r="F4" s="13">
        <v>0.0</v>
      </c>
      <c r="G4" s="31" t="s">
        <v>24</v>
      </c>
      <c r="H4" s="13">
        <v>2.0</v>
      </c>
      <c r="I4" s="17" t="s">
        <v>107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139</v>
      </c>
      <c r="P4" s="151">
        <f t="shared" si="3"/>
        <v>22</v>
      </c>
      <c r="Q4" s="153">
        <f t="shared" si="4"/>
        <v>7</v>
      </c>
      <c r="R4" s="153"/>
      <c r="S4" s="154">
        <f t="shared" si="5"/>
        <v>4</v>
      </c>
      <c r="T4" s="151">
        <f t="shared" si="6"/>
        <v>15</v>
      </c>
      <c r="U4" s="154">
        <f t="shared" si="7"/>
        <v>8</v>
      </c>
      <c r="V4" s="151">
        <f t="shared" si="8"/>
        <v>7</v>
      </c>
      <c r="X4" s="137" t="s">
        <v>66</v>
      </c>
      <c r="Y4" s="137">
        <v>2.0</v>
      </c>
      <c r="AA4" s="22" t="s">
        <v>34</v>
      </c>
      <c r="AB4" s="71" t="s">
        <v>23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49</v>
      </c>
      <c r="D5" s="12" t="s">
        <v>22</v>
      </c>
      <c r="E5" s="56" t="s">
        <v>32</v>
      </c>
      <c r="F5" s="13">
        <v>0.0</v>
      </c>
      <c r="G5" s="31" t="s">
        <v>24</v>
      </c>
      <c r="H5" s="13">
        <v>2.0</v>
      </c>
      <c r="I5" s="17" t="s">
        <v>187</v>
      </c>
      <c r="J5" s="149"/>
      <c r="K5" s="150">
        <f t="shared" si="1"/>
        <v>0</v>
      </c>
      <c r="L5" s="151">
        <f t="shared" si="2"/>
        <v>3</v>
      </c>
      <c r="M5" s="149"/>
      <c r="N5" s="151">
        <v>3.0</v>
      </c>
      <c r="O5" s="152" t="s">
        <v>25</v>
      </c>
      <c r="P5" s="151">
        <f t="shared" si="3"/>
        <v>30</v>
      </c>
      <c r="Q5" s="153">
        <f t="shared" si="4"/>
        <v>10</v>
      </c>
      <c r="R5" s="153"/>
      <c r="S5" s="154">
        <f t="shared" si="5"/>
        <v>1</v>
      </c>
      <c r="T5" s="151">
        <f t="shared" si="6"/>
        <v>21</v>
      </c>
      <c r="U5" s="154">
        <f t="shared" si="7"/>
        <v>3</v>
      </c>
      <c r="V5" s="151">
        <f t="shared" si="8"/>
        <v>18</v>
      </c>
      <c r="X5" s="137" t="s">
        <v>31</v>
      </c>
      <c r="Y5" s="137">
        <v>1.0</v>
      </c>
      <c r="AA5" s="22" t="s">
        <v>38</v>
      </c>
      <c r="AB5" s="71" t="s">
        <v>36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30</v>
      </c>
      <c r="D6" s="12" t="s">
        <v>22</v>
      </c>
      <c r="E6" s="17" t="s">
        <v>36</v>
      </c>
      <c r="F6" s="13">
        <v>2.0</v>
      </c>
      <c r="G6" s="31" t="s">
        <v>24</v>
      </c>
      <c r="H6" s="13">
        <v>0.0</v>
      </c>
      <c r="I6" s="17" t="s">
        <v>43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105</v>
      </c>
      <c r="P6" s="151">
        <f t="shared" si="3"/>
        <v>10</v>
      </c>
      <c r="Q6" s="153">
        <f t="shared" si="4"/>
        <v>4</v>
      </c>
      <c r="R6" s="153"/>
      <c r="S6" s="154">
        <f t="shared" si="5"/>
        <v>7</v>
      </c>
      <c r="T6" s="151">
        <f t="shared" si="6"/>
        <v>8</v>
      </c>
      <c r="U6" s="154">
        <f t="shared" si="7"/>
        <v>16</v>
      </c>
      <c r="V6" s="151">
        <f t="shared" si="8"/>
        <v>-8</v>
      </c>
      <c r="AA6" s="22" t="s">
        <v>41</v>
      </c>
      <c r="AB6" s="71" t="s">
        <v>61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21</v>
      </c>
      <c r="D7" s="12" t="s">
        <v>22</v>
      </c>
      <c r="E7" s="17" t="s">
        <v>105</v>
      </c>
      <c r="F7" s="13">
        <v>2.0</v>
      </c>
      <c r="G7" s="31" t="s">
        <v>24</v>
      </c>
      <c r="H7" s="13">
        <v>0.0</v>
      </c>
      <c r="I7" s="17" t="s">
        <v>66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107</v>
      </c>
      <c r="P7" s="151">
        <f t="shared" si="3"/>
        <v>15</v>
      </c>
      <c r="Q7" s="153">
        <f t="shared" si="4"/>
        <v>5</v>
      </c>
      <c r="R7" s="153"/>
      <c r="S7" s="154">
        <f t="shared" si="5"/>
        <v>6</v>
      </c>
      <c r="T7" s="151">
        <f t="shared" si="6"/>
        <v>11</v>
      </c>
      <c r="U7" s="154">
        <f t="shared" si="7"/>
        <v>13</v>
      </c>
      <c r="V7" s="151">
        <f t="shared" si="8"/>
        <v>-2</v>
      </c>
      <c r="AA7" s="22" t="s">
        <v>44</v>
      </c>
      <c r="AB7" s="71" t="s">
        <v>139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30</v>
      </c>
      <c r="D8" s="12" t="s">
        <v>22</v>
      </c>
      <c r="E8" s="17" t="s">
        <v>61</v>
      </c>
      <c r="F8" s="13">
        <v>2.0</v>
      </c>
      <c r="G8" s="31" t="s">
        <v>24</v>
      </c>
      <c r="H8" s="13">
        <v>0.0</v>
      </c>
      <c r="I8" s="17" t="s">
        <v>139</v>
      </c>
      <c r="J8" s="149"/>
      <c r="K8" s="150">
        <f t="shared" si="1"/>
        <v>3</v>
      </c>
      <c r="L8" s="151">
        <f t="shared" si="2"/>
        <v>0</v>
      </c>
      <c r="M8" s="149"/>
      <c r="N8" s="151">
        <v>6.0</v>
      </c>
      <c r="O8" s="152" t="s">
        <v>36</v>
      </c>
      <c r="P8" s="151">
        <f t="shared" si="3"/>
        <v>26</v>
      </c>
      <c r="Q8" s="153">
        <f t="shared" si="4"/>
        <v>9</v>
      </c>
      <c r="R8" s="153"/>
      <c r="S8" s="154">
        <f t="shared" si="5"/>
        <v>2</v>
      </c>
      <c r="T8" s="151">
        <f t="shared" si="6"/>
        <v>18</v>
      </c>
      <c r="U8" s="154">
        <f t="shared" si="7"/>
        <v>5</v>
      </c>
      <c r="V8" s="151">
        <f t="shared" si="8"/>
        <v>13</v>
      </c>
      <c r="AA8" s="22" t="s">
        <v>47</v>
      </c>
      <c r="AB8" s="71" t="s">
        <v>43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7" t="s">
        <v>25</v>
      </c>
      <c r="F9" s="13">
        <v>1.0</v>
      </c>
      <c r="G9" s="31" t="s">
        <v>24</v>
      </c>
      <c r="H9" s="13">
        <v>2.0</v>
      </c>
      <c r="I9" s="17" t="s">
        <v>61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187</v>
      </c>
      <c r="P9" s="151">
        <f t="shared" si="3"/>
        <v>9</v>
      </c>
      <c r="Q9" s="153">
        <f t="shared" si="4"/>
        <v>3</v>
      </c>
      <c r="R9" s="153"/>
      <c r="S9" s="154">
        <f t="shared" si="5"/>
        <v>8</v>
      </c>
      <c r="T9" s="151">
        <f t="shared" si="6"/>
        <v>7</v>
      </c>
      <c r="U9" s="154">
        <f t="shared" si="7"/>
        <v>17</v>
      </c>
      <c r="V9" s="151">
        <f t="shared" si="8"/>
        <v>-10</v>
      </c>
      <c r="AA9" s="22">
        <v>7.0</v>
      </c>
      <c r="AB9" s="71" t="s">
        <v>107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21</v>
      </c>
      <c r="D10" s="12" t="s">
        <v>22</v>
      </c>
      <c r="E10" s="17" t="s">
        <v>107</v>
      </c>
      <c r="F10" s="13">
        <v>0.0</v>
      </c>
      <c r="G10" s="31" t="s">
        <v>24</v>
      </c>
      <c r="H10" s="13">
        <v>2.0</v>
      </c>
      <c r="I10" s="17" t="s">
        <v>23</v>
      </c>
      <c r="J10" s="149"/>
      <c r="K10" s="150">
        <f t="shared" si="1"/>
        <v>0</v>
      </c>
      <c r="L10" s="151">
        <f t="shared" si="2"/>
        <v>3</v>
      </c>
      <c r="M10" s="149"/>
      <c r="N10" s="151">
        <v>8.0</v>
      </c>
      <c r="O10" s="152" t="s">
        <v>32</v>
      </c>
      <c r="P10" s="151">
        <f t="shared" si="3"/>
        <v>6</v>
      </c>
      <c r="Q10" s="153">
        <f t="shared" si="4"/>
        <v>2</v>
      </c>
      <c r="R10" s="153"/>
      <c r="S10" s="154">
        <f t="shared" si="5"/>
        <v>9</v>
      </c>
      <c r="T10" s="151">
        <f t="shared" si="6"/>
        <v>5</v>
      </c>
      <c r="U10" s="154">
        <f t="shared" si="7"/>
        <v>19</v>
      </c>
      <c r="V10" s="151">
        <f t="shared" si="8"/>
        <v>-14</v>
      </c>
      <c r="AA10" s="22">
        <v>8.0</v>
      </c>
      <c r="AB10" s="71" t="s">
        <v>105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7" t="s">
        <v>30</v>
      </c>
      <c r="D11" s="12" t="s">
        <v>22</v>
      </c>
      <c r="E11" s="17" t="s">
        <v>187</v>
      </c>
      <c r="F11" s="13">
        <v>0.0</v>
      </c>
      <c r="G11" s="31" t="s">
        <v>24</v>
      </c>
      <c r="H11" s="13">
        <v>2.0</v>
      </c>
      <c r="I11" s="17" t="s">
        <v>31</v>
      </c>
      <c r="J11" s="149"/>
      <c r="K11" s="150">
        <f t="shared" si="1"/>
        <v>0</v>
      </c>
      <c r="L11" s="151">
        <f t="shared" si="2"/>
        <v>3</v>
      </c>
      <c r="M11" s="149"/>
      <c r="N11" s="151">
        <v>9.0</v>
      </c>
      <c r="O11" s="152" t="s">
        <v>43</v>
      </c>
      <c r="P11" s="151">
        <f t="shared" si="3"/>
        <v>17</v>
      </c>
      <c r="Q11" s="153">
        <f t="shared" si="4"/>
        <v>5</v>
      </c>
      <c r="R11" s="153"/>
      <c r="S11" s="154">
        <f t="shared" si="5"/>
        <v>6</v>
      </c>
      <c r="T11" s="151">
        <f t="shared" si="6"/>
        <v>13</v>
      </c>
      <c r="U11" s="154">
        <f t="shared" si="7"/>
        <v>13</v>
      </c>
      <c r="V11" s="151">
        <f t="shared" si="8"/>
        <v>0</v>
      </c>
      <c r="AA11" s="124" t="s">
        <v>91</v>
      </c>
      <c r="AB11" s="71" t="s">
        <v>31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7" t="s">
        <v>21</v>
      </c>
      <c r="D12" s="12" t="s">
        <v>22</v>
      </c>
      <c r="E12" s="17" t="s">
        <v>43</v>
      </c>
      <c r="F12" s="13">
        <v>2.0</v>
      </c>
      <c r="G12" s="31" t="s">
        <v>24</v>
      </c>
      <c r="H12" s="13">
        <v>1.0</v>
      </c>
      <c r="I12" s="17" t="s">
        <v>32</v>
      </c>
      <c r="J12" s="149"/>
      <c r="K12" s="150">
        <f t="shared" si="1"/>
        <v>2</v>
      </c>
      <c r="L12" s="151">
        <f t="shared" si="2"/>
        <v>1</v>
      </c>
      <c r="M12" s="149"/>
      <c r="N12" s="151">
        <v>10.0</v>
      </c>
      <c r="O12" s="155" t="s">
        <v>31</v>
      </c>
      <c r="P12" s="151">
        <f t="shared" si="3"/>
        <v>10</v>
      </c>
      <c r="Q12" s="153">
        <f t="shared" si="4"/>
        <v>3</v>
      </c>
      <c r="R12" s="153"/>
      <c r="S12" s="154">
        <f t="shared" si="5"/>
        <v>8</v>
      </c>
      <c r="T12" s="151">
        <f t="shared" si="6"/>
        <v>7</v>
      </c>
      <c r="U12" s="154">
        <f t="shared" si="7"/>
        <v>16</v>
      </c>
      <c r="V12" s="151">
        <f t="shared" si="8"/>
        <v>-9</v>
      </c>
      <c r="AA12" s="77">
        <v>10.0</v>
      </c>
      <c r="AB12" s="71" t="s">
        <v>187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7" t="s">
        <v>30</v>
      </c>
      <c r="D13" s="12" t="s">
        <v>22</v>
      </c>
      <c r="E13" s="17" t="s">
        <v>66</v>
      </c>
      <c r="F13" s="13">
        <v>0.0</v>
      </c>
      <c r="G13" s="31" t="s">
        <v>24</v>
      </c>
      <c r="H13" s="13">
        <v>2.0</v>
      </c>
      <c r="I13" s="17" t="s">
        <v>36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66</v>
      </c>
      <c r="P13" s="151">
        <f t="shared" si="3"/>
        <v>1</v>
      </c>
      <c r="Q13" s="153">
        <f t="shared" si="4"/>
        <v>0</v>
      </c>
      <c r="R13" s="153"/>
      <c r="S13" s="154">
        <f t="shared" si="5"/>
        <v>11</v>
      </c>
      <c r="T13" s="151">
        <f t="shared" si="6"/>
        <v>1</v>
      </c>
      <c r="U13" s="154">
        <f t="shared" si="7"/>
        <v>22</v>
      </c>
      <c r="V13" s="151">
        <f t="shared" si="8"/>
        <v>-21</v>
      </c>
      <c r="AA13" s="77">
        <v>11.0</v>
      </c>
      <c r="AB13" s="71" t="s">
        <v>32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7" t="s">
        <v>35</v>
      </c>
      <c r="D14" s="12" t="s">
        <v>22</v>
      </c>
      <c r="E14" s="17" t="s">
        <v>139</v>
      </c>
      <c r="F14" s="13">
        <v>2.0</v>
      </c>
      <c r="G14" s="31" t="s">
        <v>24</v>
      </c>
      <c r="H14" s="13">
        <v>0.0</v>
      </c>
      <c r="I14" s="17" t="s">
        <v>105</v>
      </c>
      <c r="J14" s="149"/>
      <c r="K14" s="150">
        <f t="shared" si="1"/>
        <v>3</v>
      </c>
      <c r="L14" s="151">
        <f t="shared" si="2"/>
        <v>0</v>
      </c>
      <c r="M14" s="149"/>
      <c r="N14" s="157">
        <v>12.0</v>
      </c>
      <c r="O14" s="156" t="s">
        <v>61</v>
      </c>
      <c r="P14" s="151">
        <f t="shared" si="3"/>
        <v>23</v>
      </c>
      <c r="Q14" s="153">
        <f t="shared" si="4"/>
        <v>8</v>
      </c>
      <c r="S14" s="154">
        <f t="shared" si="5"/>
        <v>3</v>
      </c>
      <c r="T14" s="151">
        <f t="shared" si="6"/>
        <v>17</v>
      </c>
      <c r="U14" s="154">
        <f t="shared" si="7"/>
        <v>8</v>
      </c>
      <c r="V14" s="151">
        <f t="shared" si="8"/>
        <v>9</v>
      </c>
      <c r="AA14" s="77">
        <v>12.0</v>
      </c>
      <c r="AB14" s="28" t="s">
        <v>66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7" t="s">
        <v>35</v>
      </c>
      <c r="D15" s="12" t="s">
        <v>22</v>
      </c>
      <c r="E15" s="17" t="s">
        <v>25</v>
      </c>
      <c r="F15" s="13">
        <v>2.0</v>
      </c>
      <c r="G15" s="31" t="s">
        <v>24</v>
      </c>
      <c r="H15" s="13">
        <v>0.0</v>
      </c>
      <c r="I15" s="17" t="s">
        <v>107</v>
      </c>
      <c r="J15" s="149"/>
      <c r="K15" s="150">
        <f t="shared" si="1"/>
        <v>3</v>
      </c>
      <c r="L15" s="151">
        <f t="shared" si="2"/>
        <v>0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197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7" t="s">
        <v>35</v>
      </c>
      <c r="D16" s="12" t="s">
        <v>22</v>
      </c>
      <c r="E16" s="17" t="s">
        <v>23</v>
      </c>
      <c r="F16" s="13">
        <v>2.0</v>
      </c>
      <c r="G16" s="31" t="s">
        <v>24</v>
      </c>
      <c r="H16" s="13">
        <v>0.0</v>
      </c>
      <c r="I16" s="17" t="s">
        <v>187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96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21</v>
      </c>
      <c r="D17" s="12" t="s">
        <v>22</v>
      </c>
      <c r="E17" s="17" t="s">
        <v>31</v>
      </c>
      <c r="F17" s="13">
        <v>0.0</v>
      </c>
      <c r="G17" s="31" t="s">
        <v>24</v>
      </c>
      <c r="H17" s="13">
        <v>2.0</v>
      </c>
      <c r="I17" s="17" t="s">
        <v>43</v>
      </c>
      <c r="J17" s="149"/>
      <c r="K17" s="150">
        <f t="shared" si="1"/>
        <v>0</v>
      </c>
      <c r="L17" s="151">
        <f t="shared" si="2"/>
        <v>3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167</v>
      </c>
      <c r="D18" s="12" t="s">
        <v>22</v>
      </c>
      <c r="E18" s="17" t="s">
        <v>32</v>
      </c>
      <c r="F18" s="13">
        <v>2.0</v>
      </c>
      <c r="G18" s="31" t="s">
        <v>24</v>
      </c>
      <c r="H18" s="13">
        <v>1.0</v>
      </c>
      <c r="I18" s="17" t="s">
        <v>66</v>
      </c>
      <c r="J18" s="159"/>
      <c r="K18" s="150">
        <f t="shared" si="1"/>
        <v>2</v>
      </c>
      <c r="L18" s="151">
        <f t="shared" si="2"/>
        <v>1</v>
      </c>
      <c r="M18" s="149"/>
      <c r="N18" s="149"/>
      <c r="O18" s="149"/>
      <c r="P18" s="149"/>
      <c r="R18" s="149"/>
      <c r="S18" s="149"/>
      <c r="T18" s="149"/>
      <c r="U18" s="149"/>
      <c r="V18" s="149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149</v>
      </c>
      <c r="D19" s="12" t="s">
        <v>22</v>
      </c>
      <c r="E19" s="17" t="s">
        <v>36</v>
      </c>
      <c r="F19" s="13">
        <v>2.0</v>
      </c>
      <c r="G19" s="31" t="s">
        <v>24</v>
      </c>
      <c r="H19" s="13">
        <v>0.0</v>
      </c>
      <c r="I19" s="17" t="s">
        <v>139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54</v>
      </c>
      <c r="D20" s="12" t="s">
        <v>22</v>
      </c>
      <c r="E20" s="17" t="s">
        <v>61</v>
      </c>
      <c r="F20" s="13">
        <v>2.0</v>
      </c>
      <c r="G20" s="31" t="s">
        <v>24</v>
      </c>
      <c r="H20" s="13">
        <v>0.0</v>
      </c>
      <c r="I20" s="17" t="s">
        <v>105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F20" s="3"/>
      <c r="AG20" s="3"/>
      <c r="AH20" s="3"/>
      <c r="AI20" s="3"/>
    </row>
    <row r="21" ht="15.75" customHeight="1">
      <c r="A21" s="10">
        <v>4.0</v>
      </c>
      <c r="B21" s="44">
        <v>45981.0</v>
      </c>
      <c r="C21" s="67" t="s">
        <v>30</v>
      </c>
      <c r="D21" s="12" t="s">
        <v>22</v>
      </c>
      <c r="E21" s="17" t="s">
        <v>107</v>
      </c>
      <c r="F21" s="13">
        <v>2.0</v>
      </c>
      <c r="G21" s="31" t="s">
        <v>24</v>
      </c>
      <c r="H21" s="13">
        <v>0.0</v>
      </c>
      <c r="I21" s="17" t="s">
        <v>61</v>
      </c>
      <c r="J21" s="149"/>
      <c r="K21" s="150">
        <f t="shared" si="1"/>
        <v>3</v>
      </c>
      <c r="L21" s="151">
        <f t="shared" si="2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F21" s="3"/>
      <c r="AG21" s="3"/>
      <c r="AH21" s="3"/>
      <c r="AI21" s="3"/>
    </row>
    <row r="22" ht="15.75" customHeight="1">
      <c r="A22" s="25"/>
      <c r="B22" s="11">
        <v>45981.0</v>
      </c>
      <c r="C22" s="67" t="s">
        <v>30</v>
      </c>
      <c r="D22" s="12" t="s">
        <v>22</v>
      </c>
      <c r="E22" s="17" t="s">
        <v>187</v>
      </c>
      <c r="F22" s="13">
        <v>0.0</v>
      </c>
      <c r="G22" s="31" t="s">
        <v>24</v>
      </c>
      <c r="H22" s="13">
        <v>2.0</v>
      </c>
      <c r="I22" s="17" t="s">
        <v>25</v>
      </c>
      <c r="J22" s="149"/>
      <c r="K22" s="150">
        <f t="shared" si="1"/>
        <v>0</v>
      </c>
      <c r="L22" s="151">
        <f t="shared" si="2"/>
        <v>3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F22" s="3"/>
      <c r="AG22" s="3"/>
      <c r="AH22" s="3"/>
      <c r="AI22" s="3"/>
    </row>
    <row r="23" ht="15.75" customHeight="1">
      <c r="A23" s="25"/>
      <c r="B23" s="11">
        <v>45981.0</v>
      </c>
      <c r="C23" s="67" t="s">
        <v>30</v>
      </c>
      <c r="D23" s="12" t="s">
        <v>22</v>
      </c>
      <c r="E23" s="17" t="s">
        <v>43</v>
      </c>
      <c r="F23" s="13">
        <v>1.0</v>
      </c>
      <c r="G23" s="31" t="s">
        <v>24</v>
      </c>
      <c r="H23" s="13">
        <v>2.0</v>
      </c>
      <c r="I23" s="17" t="s">
        <v>23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7" t="s">
        <v>35</v>
      </c>
      <c r="D24" s="12" t="s">
        <v>22</v>
      </c>
      <c r="E24" s="17" t="s">
        <v>66</v>
      </c>
      <c r="F24" s="13">
        <v>0.0</v>
      </c>
      <c r="G24" s="31" t="s">
        <v>24</v>
      </c>
      <c r="H24" s="13">
        <v>2.0</v>
      </c>
      <c r="I24" s="17" t="s">
        <v>31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7" t="s">
        <v>35</v>
      </c>
      <c r="D25" s="12" t="s">
        <v>22</v>
      </c>
      <c r="E25" s="17" t="s">
        <v>139</v>
      </c>
      <c r="F25" s="13">
        <v>2.0</v>
      </c>
      <c r="G25" s="31" t="s">
        <v>24</v>
      </c>
      <c r="H25" s="13">
        <v>0.0</v>
      </c>
      <c r="I25" s="17" t="s">
        <v>32</v>
      </c>
      <c r="J25" s="149"/>
      <c r="K25" s="150">
        <f t="shared" si="1"/>
        <v>3</v>
      </c>
      <c r="L25" s="151">
        <f t="shared" si="2"/>
        <v>0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3"/>
      <c r="AB25" s="148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7" t="s">
        <v>35</v>
      </c>
      <c r="D26" s="12" t="s">
        <v>22</v>
      </c>
      <c r="E26" s="17" t="s">
        <v>105</v>
      </c>
      <c r="F26" s="13">
        <v>0.0</v>
      </c>
      <c r="G26" s="31" t="s">
        <v>24</v>
      </c>
      <c r="H26" s="13">
        <v>2.0</v>
      </c>
      <c r="I26" s="17" t="s">
        <v>36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3"/>
      <c r="AB26" s="148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7" t="s">
        <v>30</v>
      </c>
      <c r="D27" s="12" t="s">
        <v>22</v>
      </c>
      <c r="E27" s="17" t="s">
        <v>107</v>
      </c>
      <c r="F27" s="13">
        <v>1.0</v>
      </c>
      <c r="G27" s="31" t="s">
        <v>24</v>
      </c>
      <c r="H27" s="13">
        <v>2.0</v>
      </c>
      <c r="I27" s="17" t="s">
        <v>187</v>
      </c>
      <c r="J27" s="149"/>
      <c r="K27" s="150">
        <f t="shared" si="1"/>
        <v>1</v>
      </c>
      <c r="L27" s="151">
        <f t="shared" si="2"/>
        <v>2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3"/>
      <c r="AB27" s="148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7" t="s">
        <v>30</v>
      </c>
      <c r="D28" s="12" t="s">
        <v>22</v>
      </c>
      <c r="E28" s="17" t="s">
        <v>25</v>
      </c>
      <c r="F28" s="13">
        <v>2.0</v>
      </c>
      <c r="G28" s="31" t="s">
        <v>24</v>
      </c>
      <c r="H28" s="13">
        <v>0.0</v>
      </c>
      <c r="I28" s="17" t="s">
        <v>43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3"/>
      <c r="AB28" s="148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7" t="s">
        <v>30</v>
      </c>
      <c r="D29" s="12" t="s">
        <v>22</v>
      </c>
      <c r="E29" s="17" t="s">
        <v>23</v>
      </c>
      <c r="F29" s="13">
        <v>2.0</v>
      </c>
      <c r="G29" s="31" t="s">
        <v>24</v>
      </c>
      <c r="H29" s="13">
        <v>0.0</v>
      </c>
      <c r="I29" s="17" t="s">
        <v>66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3"/>
      <c r="AB29" s="148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7" t="s">
        <v>35</v>
      </c>
      <c r="D30" s="12" t="s">
        <v>22</v>
      </c>
      <c r="E30" s="17" t="s">
        <v>31</v>
      </c>
      <c r="F30" s="13">
        <v>0.0</v>
      </c>
      <c r="G30" s="31" t="s">
        <v>24</v>
      </c>
      <c r="H30" s="13">
        <v>2.0</v>
      </c>
      <c r="I30" s="17" t="s">
        <v>139</v>
      </c>
      <c r="J30" s="149"/>
      <c r="K30" s="150">
        <f t="shared" si="1"/>
        <v>0</v>
      </c>
      <c r="L30" s="151">
        <f t="shared" si="2"/>
        <v>3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3"/>
      <c r="AB30" s="148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7" t="s">
        <v>35</v>
      </c>
      <c r="D31" s="12" t="s">
        <v>22</v>
      </c>
      <c r="E31" s="17" t="s">
        <v>32</v>
      </c>
      <c r="F31" s="13">
        <v>0.0</v>
      </c>
      <c r="G31" s="31" t="s">
        <v>24</v>
      </c>
      <c r="H31" s="13">
        <v>2.0</v>
      </c>
      <c r="I31" s="17" t="s">
        <v>105</v>
      </c>
      <c r="J31" s="149"/>
      <c r="K31" s="150">
        <f t="shared" si="1"/>
        <v>0</v>
      </c>
      <c r="L31" s="151">
        <f t="shared" si="2"/>
        <v>3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3"/>
      <c r="AB31" s="148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7" t="s">
        <v>35</v>
      </c>
      <c r="D32" s="12" t="s">
        <v>22</v>
      </c>
      <c r="E32" s="17" t="s">
        <v>61</v>
      </c>
      <c r="F32" s="13">
        <v>1.0</v>
      </c>
      <c r="G32" s="31" t="s">
        <v>24</v>
      </c>
      <c r="H32" s="13">
        <v>2.0</v>
      </c>
      <c r="I32" s="17" t="s">
        <v>36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3"/>
      <c r="AB32" s="148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7" t="s">
        <v>30</v>
      </c>
      <c r="D33" s="12" t="s">
        <v>22</v>
      </c>
      <c r="E33" s="17" t="s">
        <v>187</v>
      </c>
      <c r="F33" s="13">
        <v>0.0</v>
      </c>
      <c r="G33" s="31" t="s">
        <v>24</v>
      </c>
      <c r="H33" s="13">
        <v>2.0</v>
      </c>
      <c r="I33" s="17" t="s">
        <v>61</v>
      </c>
      <c r="J33" s="149"/>
      <c r="K33" s="150">
        <f t="shared" si="1"/>
        <v>0</v>
      </c>
      <c r="L33" s="151">
        <f t="shared" si="2"/>
        <v>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"/>
      <c r="AB33" s="148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7" t="s">
        <v>30</v>
      </c>
      <c r="D34" s="12" t="s">
        <v>22</v>
      </c>
      <c r="E34" s="17" t="s">
        <v>43</v>
      </c>
      <c r="F34" s="13">
        <v>1.0</v>
      </c>
      <c r="G34" s="31" t="s">
        <v>24</v>
      </c>
      <c r="H34" s="13">
        <v>2.0</v>
      </c>
      <c r="I34" s="17" t="s">
        <v>107</v>
      </c>
      <c r="J34" s="149"/>
      <c r="K34" s="150">
        <f t="shared" si="1"/>
        <v>1</v>
      </c>
      <c r="L34" s="151">
        <f t="shared" si="2"/>
        <v>2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3"/>
      <c r="AB34" s="148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7" t="s">
        <v>30</v>
      </c>
      <c r="D35" s="12" t="s">
        <v>22</v>
      </c>
      <c r="E35" s="17" t="s">
        <v>66</v>
      </c>
      <c r="F35" s="13">
        <v>0.0</v>
      </c>
      <c r="G35" s="31" t="s">
        <v>24</v>
      </c>
      <c r="H35" s="13">
        <v>2.0</v>
      </c>
      <c r="I35" s="17" t="s">
        <v>25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3"/>
      <c r="AB35" s="148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7" t="s">
        <v>35</v>
      </c>
      <c r="D36" s="12" t="s">
        <v>22</v>
      </c>
      <c r="E36" s="17" t="s">
        <v>139</v>
      </c>
      <c r="F36" s="13">
        <v>1.0</v>
      </c>
      <c r="G36" s="31" t="s">
        <v>24</v>
      </c>
      <c r="H36" s="13">
        <v>2.0</v>
      </c>
      <c r="I36" s="17" t="s">
        <v>23</v>
      </c>
      <c r="J36" s="149"/>
      <c r="K36" s="150">
        <f t="shared" si="1"/>
        <v>1</v>
      </c>
      <c r="L36" s="151">
        <f t="shared" si="2"/>
        <v>2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A36" s="3"/>
      <c r="AB36" s="148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7" t="s">
        <v>35</v>
      </c>
      <c r="D37" s="12" t="s">
        <v>22</v>
      </c>
      <c r="E37" s="17" t="s">
        <v>105</v>
      </c>
      <c r="F37" s="13">
        <v>2.0</v>
      </c>
      <c r="G37" s="31" t="s">
        <v>24</v>
      </c>
      <c r="H37" s="13">
        <v>1.0</v>
      </c>
      <c r="I37" s="17" t="s">
        <v>31</v>
      </c>
      <c r="J37" s="149"/>
      <c r="K37" s="150">
        <f t="shared" si="1"/>
        <v>2</v>
      </c>
      <c r="L37" s="151">
        <f t="shared" si="2"/>
        <v>1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A37" s="3"/>
      <c r="AB37" s="148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7" t="s">
        <v>35</v>
      </c>
      <c r="D38" s="12" t="s">
        <v>22</v>
      </c>
      <c r="E38" s="17" t="s">
        <v>36</v>
      </c>
      <c r="F38" s="13">
        <v>2.0</v>
      </c>
      <c r="G38" s="31" t="s">
        <v>24</v>
      </c>
      <c r="H38" s="13">
        <v>0.0</v>
      </c>
      <c r="I38" s="17" t="s">
        <v>32</v>
      </c>
      <c r="J38" s="149"/>
      <c r="K38" s="150">
        <f t="shared" si="1"/>
        <v>3</v>
      </c>
      <c r="L38" s="151">
        <f t="shared" si="2"/>
        <v>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A38" s="3"/>
      <c r="AB38" s="148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7" t="s">
        <v>75</v>
      </c>
      <c r="D39" s="12" t="s">
        <v>22</v>
      </c>
      <c r="E39" s="17" t="s">
        <v>187</v>
      </c>
      <c r="F39" s="13">
        <v>0.0</v>
      </c>
      <c r="G39" s="31" t="s">
        <v>24</v>
      </c>
      <c r="H39" s="13">
        <v>2.0</v>
      </c>
      <c r="I39" s="17" t="s">
        <v>43</v>
      </c>
      <c r="J39" s="149"/>
      <c r="K39" s="150">
        <f t="shared" si="1"/>
        <v>0</v>
      </c>
      <c r="L39" s="151">
        <f t="shared" si="2"/>
        <v>3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A39" s="3"/>
      <c r="AB39" s="148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7" t="s">
        <v>75</v>
      </c>
      <c r="D40" s="12" t="s">
        <v>22</v>
      </c>
      <c r="E40" s="17" t="s">
        <v>107</v>
      </c>
      <c r="F40" s="13">
        <v>2.0</v>
      </c>
      <c r="G40" s="31" t="s">
        <v>24</v>
      </c>
      <c r="H40" s="13">
        <v>0.0</v>
      </c>
      <c r="I40" s="17" t="s">
        <v>66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A40" s="3"/>
      <c r="AB40" s="148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7" t="s">
        <v>75</v>
      </c>
      <c r="D41" s="39" t="s">
        <v>22</v>
      </c>
      <c r="E41" s="45" t="s">
        <v>25</v>
      </c>
      <c r="F41" s="13">
        <v>2.0</v>
      </c>
      <c r="G41" s="31" t="s">
        <v>24</v>
      </c>
      <c r="H41" s="13">
        <v>0.0</v>
      </c>
      <c r="I41" s="45" t="s">
        <v>139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A41" s="3"/>
      <c r="AB41" s="148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7" t="s">
        <v>127</v>
      </c>
      <c r="D42" s="12" t="s">
        <v>22</v>
      </c>
      <c r="E42" s="17" t="s">
        <v>23</v>
      </c>
      <c r="F42" s="13">
        <v>2.0</v>
      </c>
      <c r="G42" s="31" t="s">
        <v>24</v>
      </c>
      <c r="H42" s="13">
        <v>0.0</v>
      </c>
      <c r="I42" s="17" t="s">
        <v>105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A42" s="3"/>
      <c r="AB42" s="148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7" t="s">
        <v>127</v>
      </c>
      <c r="D43" s="12" t="s">
        <v>22</v>
      </c>
      <c r="E43" s="17" t="s">
        <v>31</v>
      </c>
      <c r="F43" s="13">
        <v>0.0</v>
      </c>
      <c r="G43" s="31" t="s">
        <v>24</v>
      </c>
      <c r="H43" s="13">
        <v>2.0</v>
      </c>
      <c r="I43" s="17" t="s">
        <v>36</v>
      </c>
      <c r="J43" s="149"/>
      <c r="K43" s="150">
        <f t="shared" si="1"/>
        <v>0</v>
      </c>
      <c r="L43" s="151">
        <f t="shared" si="2"/>
        <v>3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A43" s="3"/>
      <c r="AB43" s="148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7" t="s">
        <v>127</v>
      </c>
      <c r="D44" s="12" t="s">
        <v>22</v>
      </c>
      <c r="E44" s="17" t="s">
        <v>61</v>
      </c>
      <c r="F44" s="13">
        <v>2.0</v>
      </c>
      <c r="G44" s="31" t="s">
        <v>24</v>
      </c>
      <c r="H44" s="13">
        <v>0.0</v>
      </c>
      <c r="I44" s="17" t="s">
        <v>32</v>
      </c>
      <c r="J44" s="149"/>
      <c r="K44" s="150">
        <f t="shared" si="1"/>
        <v>3</v>
      </c>
      <c r="L44" s="151">
        <f t="shared" si="2"/>
        <v>0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A44" s="3"/>
      <c r="AB44" s="148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7" t="s">
        <v>30</v>
      </c>
      <c r="D45" s="12" t="s">
        <v>22</v>
      </c>
      <c r="E45" s="17" t="s">
        <v>43</v>
      </c>
      <c r="F45" s="13">
        <v>1.0</v>
      </c>
      <c r="G45" s="31" t="s">
        <v>24</v>
      </c>
      <c r="H45" s="13">
        <v>2.0</v>
      </c>
      <c r="I45" s="17" t="s">
        <v>61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A45" s="3"/>
      <c r="AB45" s="148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4">
        <v>46100.0</v>
      </c>
      <c r="C46" s="67" t="s">
        <v>30</v>
      </c>
      <c r="D46" s="12" t="s">
        <v>22</v>
      </c>
      <c r="E46" s="17" t="s">
        <v>66</v>
      </c>
      <c r="F46" s="13">
        <v>0.0</v>
      </c>
      <c r="G46" s="31" t="s">
        <v>24</v>
      </c>
      <c r="H46" s="13">
        <v>2.0</v>
      </c>
      <c r="I46" s="17" t="s">
        <v>187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A46" s="3"/>
      <c r="AB46" s="148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4">
        <v>46126.0</v>
      </c>
      <c r="C47" s="67" t="s">
        <v>49</v>
      </c>
      <c r="D47" s="12" t="s">
        <v>22</v>
      </c>
      <c r="E47" s="17" t="s">
        <v>139</v>
      </c>
      <c r="F47" s="13">
        <v>2.0</v>
      </c>
      <c r="G47" s="31" t="s">
        <v>24</v>
      </c>
      <c r="H47" s="13">
        <v>0.0</v>
      </c>
      <c r="I47" s="17" t="s">
        <v>107</v>
      </c>
      <c r="J47" s="149"/>
      <c r="K47" s="150">
        <f t="shared" si="1"/>
        <v>3</v>
      </c>
      <c r="L47" s="151">
        <f t="shared" si="2"/>
        <v>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A47" s="3"/>
      <c r="AB47" s="148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4">
        <v>46100.0</v>
      </c>
      <c r="C48" s="67" t="s">
        <v>35</v>
      </c>
      <c r="D48" s="12" t="s">
        <v>22</v>
      </c>
      <c r="E48" s="45" t="s">
        <v>105</v>
      </c>
      <c r="F48" s="13">
        <v>0.0</v>
      </c>
      <c r="G48" s="31" t="s">
        <v>24</v>
      </c>
      <c r="H48" s="13">
        <v>2.0</v>
      </c>
      <c r="I48" s="45" t="s">
        <v>25</v>
      </c>
      <c r="K48" s="150">
        <f t="shared" si="1"/>
        <v>0</v>
      </c>
      <c r="L48" s="151">
        <f t="shared" si="2"/>
        <v>3</v>
      </c>
      <c r="AA48" s="3"/>
      <c r="AB48" s="148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4">
        <v>46100.0</v>
      </c>
      <c r="C49" s="67" t="s">
        <v>35</v>
      </c>
      <c r="D49" s="12" t="s">
        <v>22</v>
      </c>
      <c r="E49" s="45" t="s">
        <v>36</v>
      </c>
      <c r="F49" s="13">
        <v>0.0</v>
      </c>
      <c r="G49" s="31" t="s">
        <v>24</v>
      </c>
      <c r="H49" s="13">
        <v>2.0</v>
      </c>
      <c r="I49" s="45" t="s">
        <v>23</v>
      </c>
      <c r="K49" s="150">
        <f t="shared" si="1"/>
        <v>0</v>
      </c>
      <c r="L49" s="151">
        <f t="shared" si="2"/>
        <v>3</v>
      </c>
      <c r="AA49" s="3"/>
      <c r="AB49" s="148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4">
        <v>46100.0</v>
      </c>
      <c r="C50" s="67" t="s">
        <v>35</v>
      </c>
      <c r="D50" s="12" t="s">
        <v>22</v>
      </c>
      <c r="E50" s="17" t="s">
        <v>32</v>
      </c>
      <c r="F50" s="13">
        <v>0.0</v>
      </c>
      <c r="G50" s="31" t="s">
        <v>24</v>
      </c>
      <c r="H50" s="13">
        <v>2.0</v>
      </c>
      <c r="I50" s="17" t="s">
        <v>31</v>
      </c>
      <c r="K50" s="150">
        <f t="shared" si="1"/>
        <v>0</v>
      </c>
      <c r="L50" s="151">
        <f t="shared" si="2"/>
        <v>3</v>
      </c>
      <c r="AA50" s="3"/>
      <c r="AB50" s="148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7" t="s">
        <v>116</v>
      </c>
      <c r="D51" s="12" t="s">
        <v>22</v>
      </c>
      <c r="E51" s="17" t="s">
        <v>43</v>
      </c>
      <c r="F51" s="160">
        <v>2.0</v>
      </c>
      <c r="G51" s="31" t="s">
        <v>24</v>
      </c>
      <c r="H51" s="13">
        <v>0.0</v>
      </c>
      <c r="I51" s="17" t="s">
        <v>66</v>
      </c>
      <c r="K51" s="150">
        <f t="shared" si="1"/>
        <v>3</v>
      </c>
      <c r="L51" s="151">
        <f t="shared" si="2"/>
        <v>0</v>
      </c>
      <c r="AA51" s="3"/>
      <c r="AB51" s="148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7" t="s">
        <v>116</v>
      </c>
      <c r="D52" s="12" t="s">
        <v>22</v>
      </c>
      <c r="E52" s="17" t="s">
        <v>187</v>
      </c>
      <c r="F52" s="160">
        <v>0.0</v>
      </c>
      <c r="G52" s="31" t="s">
        <v>24</v>
      </c>
      <c r="H52" s="13">
        <v>2.0</v>
      </c>
      <c r="I52" s="17" t="s">
        <v>139</v>
      </c>
      <c r="K52" s="150">
        <f t="shared" si="1"/>
        <v>0</v>
      </c>
      <c r="L52" s="151">
        <f t="shared" si="2"/>
        <v>3</v>
      </c>
      <c r="AA52" s="3"/>
      <c r="AB52" s="148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4">
        <v>46100.0</v>
      </c>
      <c r="C53" s="67" t="s">
        <v>30</v>
      </c>
      <c r="D53" s="12" t="s">
        <v>22</v>
      </c>
      <c r="E53" s="17" t="s">
        <v>107</v>
      </c>
      <c r="F53" s="160">
        <v>2.0</v>
      </c>
      <c r="G53" s="31" t="s">
        <v>24</v>
      </c>
      <c r="H53" s="13">
        <v>0.0</v>
      </c>
      <c r="I53" s="17" t="s">
        <v>105</v>
      </c>
      <c r="K53" s="150">
        <f t="shared" si="1"/>
        <v>3</v>
      </c>
      <c r="L53" s="151">
        <f t="shared" si="2"/>
        <v>0</v>
      </c>
      <c r="AA53" s="3"/>
      <c r="AB53" s="148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7" t="s">
        <v>116</v>
      </c>
      <c r="D54" s="12" t="s">
        <v>22</v>
      </c>
      <c r="E54" s="17" t="s">
        <v>25</v>
      </c>
      <c r="F54" s="160">
        <v>2.0</v>
      </c>
      <c r="G54" s="31" t="s">
        <v>24</v>
      </c>
      <c r="H54" s="13">
        <v>0.0</v>
      </c>
      <c r="I54" s="17" t="s">
        <v>36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7" t="s">
        <v>77</v>
      </c>
      <c r="D55" s="12" t="s">
        <v>22</v>
      </c>
      <c r="E55" s="17" t="s">
        <v>23</v>
      </c>
      <c r="F55" s="160">
        <v>2.0</v>
      </c>
      <c r="G55" s="31" t="s">
        <v>24</v>
      </c>
      <c r="H55" s="13">
        <v>0.0</v>
      </c>
      <c r="I55" s="17" t="s">
        <v>32</v>
      </c>
      <c r="K55" s="150">
        <f t="shared" si="1"/>
        <v>3</v>
      </c>
      <c r="L55" s="151">
        <f t="shared" si="2"/>
        <v>0</v>
      </c>
      <c r="AA55" s="3"/>
      <c r="AB55" s="148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7" t="s">
        <v>77</v>
      </c>
      <c r="D56" s="12" t="s">
        <v>22</v>
      </c>
      <c r="E56" s="17" t="s">
        <v>61</v>
      </c>
      <c r="F56" s="160">
        <v>2.0</v>
      </c>
      <c r="G56" s="31" t="s">
        <v>24</v>
      </c>
      <c r="H56" s="13">
        <v>0.0</v>
      </c>
      <c r="I56" s="17" t="s">
        <v>31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4">
        <v>46128.0</v>
      </c>
      <c r="C57" s="12" t="s">
        <v>128</v>
      </c>
      <c r="D57" s="12" t="s">
        <v>22</v>
      </c>
      <c r="E57" s="17" t="s">
        <v>61</v>
      </c>
      <c r="F57" s="13">
        <v>2.0</v>
      </c>
      <c r="G57" s="31" t="s">
        <v>24</v>
      </c>
      <c r="H57" s="13">
        <v>0.0</v>
      </c>
      <c r="I57" s="17" t="s">
        <v>66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128</v>
      </c>
      <c r="D58" s="12" t="s">
        <v>22</v>
      </c>
      <c r="E58" s="17" t="s">
        <v>139</v>
      </c>
      <c r="F58" s="13">
        <v>2.0</v>
      </c>
      <c r="G58" s="31" t="s">
        <v>24</v>
      </c>
      <c r="H58" s="13">
        <v>0.0</v>
      </c>
      <c r="I58" s="17" t="s">
        <v>43</v>
      </c>
      <c r="K58" s="150">
        <f t="shared" si="1"/>
        <v>3</v>
      </c>
      <c r="L58" s="151">
        <f t="shared" si="2"/>
        <v>0</v>
      </c>
      <c r="AA58" s="3"/>
      <c r="AB58" s="148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128</v>
      </c>
      <c r="D59" s="12" t="s">
        <v>22</v>
      </c>
      <c r="E59" s="17" t="s">
        <v>105</v>
      </c>
      <c r="F59" s="13">
        <v>2.0</v>
      </c>
      <c r="G59" s="31" t="s">
        <v>24</v>
      </c>
      <c r="H59" s="13">
        <v>1.0</v>
      </c>
      <c r="I59" s="17" t="s">
        <v>187</v>
      </c>
      <c r="K59" s="150">
        <f t="shared" si="1"/>
        <v>2</v>
      </c>
      <c r="L59" s="151">
        <f t="shared" si="2"/>
        <v>1</v>
      </c>
      <c r="AA59" s="3"/>
      <c r="AB59" s="148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74</v>
      </c>
      <c r="D60" s="12" t="s">
        <v>22</v>
      </c>
      <c r="E60" s="17" t="s">
        <v>36</v>
      </c>
      <c r="F60" s="13">
        <v>2.0</v>
      </c>
      <c r="G60" s="31" t="s">
        <v>24</v>
      </c>
      <c r="H60" s="13">
        <v>0.0</v>
      </c>
      <c r="I60" s="17" t="s">
        <v>107</v>
      </c>
      <c r="K60" s="150">
        <f t="shared" si="1"/>
        <v>3</v>
      </c>
      <c r="L60" s="151">
        <f t="shared" si="2"/>
        <v>0</v>
      </c>
      <c r="AA60" s="3"/>
      <c r="AB60" s="148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74</v>
      </c>
      <c r="D61" s="12" t="s">
        <v>22</v>
      </c>
      <c r="E61" s="17" t="s">
        <v>32</v>
      </c>
      <c r="F61" s="13">
        <v>0.0</v>
      </c>
      <c r="G61" s="31" t="s">
        <v>24</v>
      </c>
      <c r="H61" s="13">
        <v>2.0</v>
      </c>
      <c r="I61" s="17" t="s">
        <v>25</v>
      </c>
      <c r="K61" s="150">
        <f t="shared" si="1"/>
        <v>0</v>
      </c>
      <c r="L61" s="151">
        <f t="shared" si="2"/>
        <v>3</v>
      </c>
      <c r="AA61" s="3"/>
      <c r="AB61" s="148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74</v>
      </c>
      <c r="D62" s="12" t="s">
        <v>22</v>
      </c>
      <c r="E62" s="17" t="s">
        <v>31</v>
      </c>
      <c r="F62" s="13">
        <v>0.0</v>
      </c>
      <c r="G62" s="31" t="s">
        <v>24</v>
      </c>
      <c r="H62" s="13">
        <v>2.0</v>
      </c>
      <c r="I62" s="17" t="s">
        <v>23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7" t="s">
        <v>30</v>
      </c>
      <c r="D63" s="12" t="s">
        <v>22</v>
      </c>
      <c r="E63" s="17" t="s">
        <v>66</v>
      </c>
      <c r="F63" s="13">
        <v>0.0</v>
      </c>
      <c r="G63" s="31" t="s">
        <v>24</v>
      </c>
      <c r="H63" s="13">
        <v>2.0</v>
      </c>
      <c r="I63" s="17" t="s">
        <v>139</v>
      </c>
      <c r="K63" s="150">
        <f t="shared" si="1"/>
        <v>0</v>
      </c>
      <c r="L63" s="151">
        <f t="shared" si="2"/>
        <v>3</v>
      </c>
      <c r="AA63" s="3"/>
      <c r="AB63" s="148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7" t="s">
        <v>30</v>
      </c>
      <c r="D64" s="12" t="s">
        <v>22</v>
      </c>
      <c r="E64" s="17" t="s">
        <v>43</v>
      </c>
      <c r="F64" s="13">
        <v>2.0</v>
      </c>
      <c r="G64" s="31" t="s">
        <v>24</v>
      </c>
      <c r="H64" s="13">
        <v>0.0</v>
      </c>
      <c r="I64" s="17" t="s">
        <v>105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7" t="s">
        <v>30</v>
      </c>
      <c r="D65" s="12" t="s">
        <v>22</v>
      </c>
      <c r="E65" s="17" t="s">
        <v>187</v>
      </c>
      <c r="F65" s="13">
        <v>0.0</v>
      </c>
      <c r="G65" s="31" t="s">
        <v>24</v>
      </c>
      <c r="H65" s="13">
        <v>2.0</v>
      </c>
      <c r="I65" s="17" t="s">
        <v>36</v>
      </c>
      <c r="K65" s="150">
        <f t="shared" si="1"/>
        <v>0</v>
      </c>
      <c r="L65" s="151">
        <f t="shared" si="2"/>
        <v>3</v>
      </c>
      <c r="AA65" s="3"/>
      <c r="AB65" s="148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7" t="s">
        <v>35</v>
      </c>
      <c r="D66" s="12" t="s">
        <v>22</v>
      </c>
      <c r="E66" s="14" t="s">
        <v>107</v>
      </c>
      <c r="F66" s="13">
        <v>0.0</v>
      </c>
      <c r="G66" s="31" t="s">
        <v>24</v>
      </c>
      <c r="H66" s="13">
        <v>2.0</v>
      </c>
      <c r="I66" s="17" t="s">
        <v>32</v>
      </c>
      <c r="K66" s="150">
        <f t="shared" si="1"/>
        <v>0</v>
      </c>
      <c r="L66" s="151">
        <f t="shared" si="2"/>
        <v>3</v>
      </c>
      <c r="AA66" s="3"/>
      <c r="AB66" s="148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7" t="s">
        <v>35</v>
      </c>
      <c r="D67" s="12" t="s">
        <v>22</v>
      </c>
      <c r="E67" s="17" t="s">
        <v>25</v>
      </c>
      <c r="F67" s="13">
        <v>2.0</v>
      </c>
      <c r="G67" s="31" t="s">
        <v>24</v>
      </c>
      <c r="H67" s="13">
        <v>0.0</v>
      </c>
      <c r="I67" s="17" t="s">
        <v>31</v>
      </c>
      <c r="K67" s="150">
        <f t="shared" si="1"/>
        <v>3</v>
      </c>
      <c r="L67" s="151">
        <f t="shared" si="2"/>
        <v>0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4">
        <v>46128.0</v>
      </c>
      <c r="C68" s="67" t="s">
        <v>35</v>
      </c>
      <c r="D68" s="12" t="s">
        <v>22</v>
      </c>
      <c r="E68" s="17" t="s">
        <v>23</v>
      </c>
      <c r="F68" s="13">
        <v>2.0</v>
      </c>
      <c r="G68" s="31" t="s">
        <v>24</v>
      </c>
      <c r="H68" s="13">
        <v>0.0</v>
      </c>
      <c r="I68" s="17" t="s">
        <v>61</v>
      </c>
      <c r="K68" s="150">
        <f t="shared" si="1"/>
        <v>3</v>
      </c>
      <c r="L68" s="151">
        <f t="shared" si="2"/>
        <v>0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</row>
    <row r="69" ht="15.75" customHeight="1">
      <c r="A69" s="161"/>
      <c r="B69" s="162"/>
      <c r="C69" s="162"/>
      <c r="D69" s="162"/>
      <c r="E69" s="43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</row>
    <row r="70" ht="15.75" customHeight="1">
      <c r="A70" s="161"/>
      <c r="B70" s="162"/>
      <c r="C70" s="162"/>
      <c r="D70" s="162"/>
      <c r="E70" s="43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</row>
    <row r="71" ht="15.75" customHeight="1">
      <c r="A71" s="161"/>
      <c r="B71" s="162"/>
      <c r="C71" s="162"/>
      <c r="D71" s="162"/>
      <c r="E71" s="43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</row>
    <row r="72" ht="15.75" customHeight="1">
      <c r="A72" s="147" t="s">
        <v>198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194</v>
      </c>
      <c r="U73" s="9" t="s">
        <v>195</v>
      </c>
      <c r="V73" s="9" t="s">
        <v>196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194</v>
      </c>
      <c r="AH73" s="5" t="s">
        <v>195</v>
      </c>
      <c r="AI73" s="5" t="s">
        <v>196</v>
      </c>
    </row>
    <row r="74" ht="15.75" customHeight="1">
      <c r="A74" s="66">
        <v>1.0</v>
      </c>
      <c r="B74" s="11">
        <v>45944.0</v>
      </c>
      <c r="C74" s="12" t="s">
        <v>128</v>
      </c>
      <c r="D74" s="12" t="s">
        <v>22</v>
      </c>
      <c r="E74" s="17" t="s">
        <v>39</v>
      </c>
      <c r="F74" s="13">
        <v>1.0</v>
      </c>
      <c r="G74" s="31" t="s">
        <v>24</v>
      </c>
      <c r="H74" s="13">
        <v>2.0</v>
      </c>
      <c r="I74" s="17" t="s">
        <v>152</v>
      </c>
      <c r="J74" s="149"/>
      <c r="K74" s="150">
        <f t="shared" ref="K74:K139" si="9">IFS(F74=H74+2,3,F74=H74-2,0,F74=H74+1,2,F74=H74-1,1,F74="","")</f>
        <v>1</v>
      </c>
      <c r="L74" s="151">
        <f t="shared" ref="L74:L139" si="10">IFS(H74=F74+2,3,H74=F74-2,0,H74=F74+1,2,H74=F74-1,1,H74="","")</f>
        <v>2</v>
      </c>
      <c r="M74" s="149"/>
      <c r="N74" s="151">
        <v>1.0</v>
      </c>
      <c r="O74" s="152" t="s">
        <v>39</v>
      </c>
      <c r="P74" s="151">
        <f t="shared" ref="P74:P84" si="11">SUMIF(E$74:E$139,O74,K$74:K$139)+SUMIF(I$74:I$139,O74,L$74:L$139)</f>
        <v>7</v>
      </c>
      <c r="Q74" s="153">
        <f t="shared" ref="Q74:Q84" si="12">COUNTIFS(E$74:E$139,O74,K$74:K$139,2)+COUNTIFS(I$74:I$139,O74,L$74:L$139,2)+COUNTIFS(E$74:E$139,O74,K$74:K$139,3)+COUNTIFS(I$74:I$139,O74,L$74:L$139,3)</f>
        <v>1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9</v>
      </c>
      <c r="T74" s="151">
        <f t="shared" ref="T74:T84" si="14">SUMIF(E$74:E$139,O74,F$74:F$139)+SUMIF(I$74:I$139,O74,H$74:H$139)</f>
        <v>6</v>
      </c>
      <c r="U74" s="154">
        <f t="shared" ref="U74:U84" si="15">SUMIF(E$74:E$139,O74,H$74:H$139)+SUMIF(I$74:I$139,O74,F$74:F$139)</f>
        <v>18</v>
      </c>
      <c r="V74" s="151">
        <f t="shared" ref="V74:V84" si="16">T74-U74</f>
        <v>-12</v>
      </c>
      <c r="X74" s="136" t="s">
        <v>26</v>
      </c>
      <c r="Y74" s="136" t="s">
        <v>13</v>
      </c>
      <c r="AA74" s="46" t="s">
        <v>29</v>
      </c>
      <c r="AB74" s="71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75</v>
      </c>
      <c r="D75" s="12" t="s">
        <v>22</v>
      </c>
      <c r="E75" s="17" t="s">
        <v>164</v>
      </c>
      <c r="F75" s="13">
        <v>2.0</v>
      </c>
      <c r="G75" s="31" t="s">
        <v>24</v>
      </c>
      <c r="H75" s="13">
        <v>0.0</v>
      </c>
      <c r="I75" s="17" t="s">
        <v>64</v>
      </c>
      <c r="J75" s="149"/>
      <c r="K75" s="150">
        <f t="shared" si="9"/>
        <v>3</v>
      </c>
      <c r="L75" s="151">
        <f t="shared" si="10"/>
        <v>0</v>
      </c>
      <c r="M75" s="149"/>
      <c r="N75" s="151">
        <v>2.0</v>
      </c>
      <c r="O75" s="152" t="s">
        <v>40</v>
      </c>
      <c r="P75" s="151">
        <f t="shared" si="11"/>
        <v>10</v>
      </c>
      <c r="Q75" s="153">
        <f t="shared" si="12"/>
        <v>3</v>
      </c>
      <c r="R75" s="154"/>
      <c r="S75" s="154">
        <f t="shared" si="13"/>
        <v>7</v>
      </c>
      <c r="T75" s="151">
        <f t="shared" si="14"/>
        <v>8</v>
      </c>
      <c r="U75" s="154">
        <f t="shared" si="15"/>
        <v>15</v>
      </c>
      <c r="V75" s="151">
        <f t="shared" si="16"/>
        <v>-7</v>
      </c>
      <c r="X75" s="137" t="s">
        <v>33</v>
      </c>
      <c r="Y75" s="137">
        <v>3.0</v>
      </c>
      <c r="AA75" s="124" t="s">
        <v>106</v>
      </c>
      <c r="AB75" s="71" t="s">
        <v>68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128</v>
      </c>
      <c r="D76" s="12" t="s">
        <v>22</v>
      </c>
      <c r="E76" s="17" t="s">
        <v>199</v>
      </c>
      <c r="F76" s="13">
        <v>2.0</v>
      </c>
      <c r="G76" s="31" t="s">
        <v>24</v>
      </c>
      <c r="H76" s="13">
        <v>0.0</v>
      </c>
      <c r="I76" s="17" t="s">
        <v>130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152</v>
      </c>
      <c r="P76" s="151">
        <f t="shared" si="11"/>
        <v>18</v>
      </c>
      <c r="Q76" s="153">
        <f t="shared" si="12"/>
        <v>6</v>
      </c>
      <c r="R76" s="154"/>
      <c r="S76" s="154">
        <f t="shared" si="13"/>
        <v>4</v>
      </c>
      <c r="T76" s="151">
        <f t="shared" si="14"/>
        <v>14</v>
      </c>
      <c r="U76" s="154">
        <f t="shared" si="15"/>
        <v>10</v>
      </c>
      <c r="V76" s="151">
        <f t="shared" si="16"/>
        <v>4</v>
      </c>
      <c r="X76" s="137" t="s">
        <v>40</v>
      </c>
      <c r="Y76" s="137">
        <v>0.0</v>
      </c>
      <c r="AA76" s="22">
        <v>3.0</v>
      </c>
      <c r="AB76" s="71" t="s">
        <v>152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74</v>
      </c>
      <c r="D77" s="12" t="s">
        <v>22</v>
      </c>
      <c r="E77" s="17" t="s">
        <v>69</v>
      </c>
      <c r="F77" s="13">
        <v>2.0</v>
      </c>
      <c r="G77" s="31" t="s">
        <v>24</v>
      </c>
      <c r="H77" s="13">
        <v>1.0</v>
      </c>
      <c r="I77" s="17" t="s">
        <v>102</v>
      </c>
      <c r="J77" s="149"/>
      <c r="K77" s="150">
        <f t="shared" si="9"/>
        <v>2</v>
      </c>
      <c r="L77" s="151">
        <f t="shared" si="10"/>
        <v>1</v>
      </c>
      <c r="M77" s="149"/>
      <c r="N77" s="151">
        <v>4.0</v>
      </c>
      <c r="O77" s="152" t="s">
        <v>108</v>
      </c>
      <c r="P77" s="151">
        <f t="shared" si="11"/>
        <v>16</v>
      </c>
      <c r="Q77" s="153">
        <f t="shared" si="12"/>
        <v>6</v>
      </c>
      <c r="R77" s="154"/>
      <c r="S77" s="154">
        <f t="shared" si="13"/>
        <v>4</v>
      </c>
      <c r="T77" s="151">
        <f t="shared" si="14"/>
        <v>13</v>
      </c>
      <c r="U77" s="154">
        <f t="shared" si="15"/>
        <v>11</v>
      </c>
      <c r="V77" s="151">
        <f t="shared" si="16"/>
        <v>2</v>
      </c>
      <c r="AA77" s="22">
        <v>4.0</v>
      </c>
      <c r="AB77" s="71" t="s">
        <v>199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74</v>
      </c>
      <c r="D78" s="12" t="s">
        <v>22</v>
      </c>
      <c r="E78" s="17" t="s">
        <v>108</v>
      </c>
      <c r="F78" s="13">
        <v>0.0</v>
      </c>
      <c r="G78" s="31" t="s">
        <v>24</v>
      </c>
      <c r="H78" s="13">
        <v>2.0</v>
      </c>
      <c r="I78" s="17" t="s">
        <v>68</v>
      </c>
      <c r="J78" s="149"/>
      <c r="K78" s="150">
        <f t="shared" si="9"/>
        <v>0</v>
      </c>
      <c r="L78" s="151">
        <f t="shared" si="10"/>
        <v>3</v>
      </c>
      <c r="M78" s="149"/>
      <c r="N78" s="151">
        <v>5.0</v>
      </c>
      <c r="O78" s="152" t="s">
        <v>64</v>
      </c>
      <c r="P78" s="151">
        <f t="shared" si="11"/>
        <v>16</v>
      </c>
      <c r="Q78" s="153">
        <f t="shared" si="12"/>
        <v>5</v>
      </c>
      <c r="R78" s="154"/>
      <c r="S78" s="154">
        <f t="shared" si="13"/>
        <v>5</v>
      </c>
      <c r="T78" s="151">
        <f t="shared" si="14"/>
        <v>12</v>
      </c>
      <c r="U78" s="154">
        <f t="shared" si="15"/>
        <v>11</v>
      </c>
      <c r="V78" s="151">
        <f t="shared" si="16"/>
        <v>1</v>
      </c>
      <c r="AA78" s="22">
        <v>5.0</v>
      </c>
      <c r="AB78" s="71" t="s">
        <v>108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40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69</v>
      </c>
      <c r="P79" s="151">
        <f t="shared" si="11"/>
        <v>3</v>
      </c>
      <c r="Q79" s="153">
        <f t="shared" si="12"/>
        <v>1</v>
      </c>
      <c r="R79" s="154"/>
      <c r="S79" s="154">
        <f t="shared" si="13"/>
        <v>9</v>
      </c>
      <c r="T79" s="151">
        <f t="shared" si="14"/>
        <v>3</v>
      </c>
      <c r="U79" s="154">
        <f t="shared" si="15"/>
        <v>19</v>
      </c>
      <c r="V79" s="151">
        <f t="shared" si="16"/>
        <v>-16</v>
      </c>
      <c r="AA79" s="22">
        <v>6.0</v>
      </c>
      <c r="AB79" s="71" t="s">
        <v>64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6">
        <v>2.0</v>
      </c>
      <c r="B80" s="163"/>
      <c r="C80" s="164"/>
      <c r="D80" s="165"/>
      <c r="E80" s="17" t="s">
        <v>152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130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9</v>
      </c>
      <c r="U80" s="154">
        <f t="shared" si="15"/>
        <v>15</v>
      </c>
      <c r="V80" s="151">
        <f t="shared" si="16"/>
        <v>-6</v>
      </c>
      <c r="AA80" s="22">
        <v>7.0</v>
      </c>
      <c r="AB80" s="71" t="s">
        <v>102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74</v>
      </c>
      <c r="D81" s="12" t="s">
        <v>22</v>
      </c>
      <c r="E81" s="17" t="s">
        <v>64</v>
      </c>
      <c r="F81" s="13">
        <v>2.0</v>
      </c>
      <c r="G81" s="31" t="s">
        <v>24</v>
      </c>
      <c r="H81" s="13">
        <v>0.0</v>
      </c>
      <c r="I81" s="17" t="s">
        <v>39</v>
      </c>
      <c r="J81" s="149"/>
      <c r="K81" s="150">
        <f t="shared" si="9"/>
        <v>3</v>
      </c>
      <c r="L81" s="151">
        <f t="shared" si="10"/>
        <v>0</v>
      </c>
      <c r="M81" s="149"/>
      <c r="N81" s="151">
        <v>8.0</v>
      </c>
      <c r="O81" s="152" t="s">
        <v>199</v>
      </c>
      <c r="P81" s="151">
        <f t="shared" si="11"/>
        <v>17</v>
      </c>
      <c r="Q81" s="153">
        <f t="shared" si="12"/>
        <v>5</v>
      </c>
      <c r="R81" s="154"/>
      <c r="S81" s="154">
        <f t="shared" si="13"/>
        <v>5</v>
      </c>
      <c r="T81" s="151">
        <f t="shared" si="14"/>
        <v>13</v>
      </c>
      <c r="U81" s="154">
        <f t="shared" si="15"/>
        <v>11</v>
      </c>
      <c r="V81" s="151">
        <f t="shared" si="16"/>
        <v>2</v>
      </c>
      <c r="AA81" s="22">
        <v>8.0</v>
      </c>
      <c r="AB81" s="71" t="s">
        <v>130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49</v>
      </c>
      <c r="D82" s="12" t="s">
        <v>22</v>
      </c>
      <c r="E82" s="17" t="s">
        <v>130</v>
      </c>
      <c r="F82" s="13">
        <v>0.0</v>
      </c>
      <c r="G82" s="31" t="s">
        <v>24</v>
      </c>
      <c r="H82" s="13">
        <v>2.0</v>
      </c>
      <c r="I82" s="17" t="s">
        <v>164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102</v>
      </c>
      <c r="P82" s="151">
        <f t="shared" si="11"/>
        <v>14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12</v>
      </c>
      <c r="U82" s="154">
        <f t="shared" si="15"/>
        <v>13</v>
      </c>
      <c r="V82" s="151">
        <f t="shared" si="16"/>
        <v>-1</v>
      </c>
      <c r="AA82" s="22">
        <v>9.0</v>
      </c>
      <c r="AB82" s="71" t="s">
        <v>40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49</v>
      </c>
      <c r="D83" s="12" t="s">
        <v>22</v>
      </c>
      <c r="E83" s="17" t="s">
        <v>102</v>
      </c>
      <c r="F83" s="13">
        <v>2.0</v>
      </c>
      <c r="G83" s="31" t="s">
        <v>24</v>
      </c>
      <c r="H83" s="13">
        <v>1.0</v>
      </c>
      <c r="I83" s="17" t="s">
        <v>199</v>
      </c>
      <c r="J83" s="149"/>
      <c r="K83" s="150">
        <f t="shared" si="9"/>
        <v>2</v>
      </c>
      <c r="L83" s="151">
        <f t="shared" si="10"/>
        <v>1</v>
      </c>
      <c r="M83" s="149"/>
      <c r="N83" s="151">
        <v>10.0</v>
      </c>
      <c r="O83" s="152" t="s">
        <v>164</v>
      </c>
      <c r="P83" s="151">
        <f t="shared" si="11"/>
        <v>28</v>
      </c>
      <c r="Q83" s="153">
        <f t="shared" si="12"/>
        <v>10</v>
      </c>
      <c r="R83" s="154"/>
      <c r="S83" s="154">
        <f t="shared" si="13"/>
        <v>0</v>
      </c>
      <c r="T83" s="151">
        <f t="shared" si="14"/>
        <v>20</v>
      </c>
      <c r="U83" s="154">
        <f t="shared" si="15"/>
        <v>2</v>
      </c>
      <c r="V83" s="151">
        <f t="shared" si="16"/>
        <v>18</v>
      </c>
      <c r="AA83" s="22">
        <v>10.0</v>
      </c>
      <c r="AB83" s="71" t="s">
        <v>39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49</v>
      </c>
      <c r="D84" s="12" t="s">
        <v>22</v>
      </c>
      <c r="E84" s="17" t="s">
        <v>68</v>
      </c>
      <c r="F84" s="13">
        <v>2.0</v>
      </c>
      <c r="G84" s="31" t="s">
        <v>24</v>
      </c>
      <c r="H84" s="13">
        <v>0.0</v>
      </c>
      <c r="I84" s="17" t="s">
        <v>69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68</v>
      </c>
      <c r="P84" s="151">
        <f t="shared" si="11"/>
        <v>26</v>
      </c>
      <c r="Q84" s="153">
        <f t="shared" si="12"/>
        <v>9</v>
      </c>
      <c r="S84" s="154">
        <f t="shared" si="13"/>
        <v>1</v>
      </c>
      <c r="T84" s="151">
        <f t="shared" si="14"/>
        <v>19</v>
      </c>
      <c r="U84" s="154">
        <f t="shared" si="15"/>
        <v>4</v>
      </c>
      <c r="V84" s="151">
        <f t="shared" si="16"/>
        <v>15</v>
      </c>
      <c r="AA84" s="53">
        <v>11.0</v>
      </c>
      <c r="AB84" s="71" t="s">
        <v>69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21</v>
      </c>
      <c r="D85" s="12" t="s">
        <v>22</v>
      </c>
      <c r="E85" s="17" t="s">
        <v>40</v>
      </c>
      <c r="F85" s="13">
        <v>0.0</v>
      </c>
      <c r="G85" s="31" t="s">
        <v>24</v>
      </c>
      <c r="H85" s="13">
        <v>2.0</v>
      </c>
      <c r="I85" s="17" t="s">
        <v>108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200</v>
      </c>
      <c r="AD85" s="37"/>
      <c r="AE85" s="37"/>
      <c r="AF85" s="3"/>
      <c r="AG85" s="3"/>
      <c r="AH85" s="3"/>
      <c r="AI85" s="3"/>
    </row>
    <row r="86" ht="15.75" customHeight="1">
      <c r="A86" s="66">
        <v>3.0</v>
      </c>
      <c r="B86" s="11">
        <v>45967.0</v>
      </c>
      <c r="C86" s="12" t="s">
        <v>30</v>
      </c>
      <c r="D86" s="12" t="s">
        <v>22</v>
      </c>
      <c r="E86" s="17" t="s">
        <v>152</v>
      </c>
      <c r="F86" s="13">
        <v>2.0</v>
      </c>
      <c r="G86" s="31" t="s">
        <v>24</v>
      </c>
      <c r="H86" s="13">
        <v>0.0</v>
      </c>
      <c r="I86" s="17" t="s">
        <v>64</v>
      </c>
      <c r="J86" s="149"/>
      <c r="K86" s="150">
        <f t="shared" si="9"/>
        <v>3</v>
      </c>
      <c r="L86" s="151">
        <f t="shared" si="10"/>
        <v>0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96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30</v>
      </c>
      <c r="D87" s="12" t="s">
        <v>22</v>
      </c>
      <c r="E87" s="17" t="s">
        <v>39</v>
      </c>
      <c r="F87" s="13">
        <v>1.0</v>
      </c>
      <c r="G87" s="31" t="s">
        <v>24</v>
      </c>
      <c r="H87" s="13">
        <v>2.0</v>
      </c>
      <c r="I87" s="17" t="s">
        <v>130</v>
      </c>
      <c r="J87" s="149"/>
      <c r="K87" s="150">
        <f t="shared" si="9"/>
        <v>1</v>
      </c>
      <c r="L87" s="151">
        <f t="shared" si="10"/>
        <v>2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30</v>
      </c>
      <c r="D88" s="12" t="s">
        <v>22</v>
      </c>
      <c r="E88" s="17" t="s">
        <v>164</v>
      </c>
      <c r="F88" s="13">
        <v>2.0</v>
      </c>
      <c r="G88" s="31" t="s">
        <v>24</v>
      </c>
      <c r="H88" s="13">
        <v>0.0</v>
      </c>
      <c r="I88" s="17" t="s">
        <v>102</v>
      </c>
      <c r="J88" s="149"/>
      <c r="K88" s="150">
        <f t="shared" si="9"/>
        <v>3</v>
      </c>
      <c r="L88" s="151">
        <f t="shared" si="10"/>
        <v>0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199</v>
      </c>
      <c r="F89" s="13">
        <v>0.0</v>
      </c>
      <c r="G89" s="31" t="s">
        <v>24</v>
      </c>
      <c r="H89" s="13">
        <v>2.0</v>
      </c>
      <c r="I89" s="17" t="s">
        <v>68</v>
      </c>
      <c r="J89" s="159"/>
      <c r="K89" s="150">
        <f t="shared" si="9"/>
        <v>0</v>
      </c>
      <c r="L89" s="151">
        <f t="shared" si="10"/>
        <v>3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</row>
    <row r="90" ht="15.75" customHeight="1">
      <c r="A90" s="25"/>
      <c r="B90" s="11">
        <v>45967.0</v>
      </c>
      <c r="C90" s="12" t="s">
        <v>35</v>
      </c>
      <c r="D90" s="12" t="s">
        <v>22</v>
      </c>
      <c r="E90" s="17" t="s">
        <v>69</v>
      </c>
      <c r="F90" s="13">
        <v>0.0</v>
      </c>
      <c r="G90" s="31" t="s">
        <v>24</v>
      </c>
      <c r="H90" s="13">
        <v>2.0</v>
      </c>
      <c r="I90" s="17" t="s">
        <v>40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108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</row>
    <row r="92" ht="15.75" customHeight="1">
      <c r="A92" s="143">
        <v>4.0</v>
      </c>
      <c r="B92" s="11"/>
      <c r="C92" s="12"/>
      <c r="D92" s="12"/>
      <c r="E92" s="17" t="s">
        <v>64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</row>
    <row r="93" ht="15.75" customHeight="1">
      <c r="A93" s="25"/>
      <c r="B93" s="11">
        <v>45981.0</v>
      </c>
      <c r="C93" s="12" t="s">
        <v>49</v>
      </c>
      <c r="D93" s="12" t="s">
        <v>22</v>
      </c>
      <c r="E93" s="17" t="s">
        <v>130</v>
      </c>
      <c r="F93" s="13">
        <v>2.0</v>
      </c>
      <c r="G93" s="31" t="s">
        <v>24</v>
      </c>
      <c r="H93" s="13">
        <v>1.0</v>
      </c>
      <c r="I93" s="17" t="s">
        <v>152</v>
      </c>
      <c r="J93" s="149"/>
      <c r="K93" s="150">
        <f t="shared" si="9"/>
        <v>2</v>
      </c>
      <c r="L93" s="151">
        <f t="shared" si="10"/>
        <v>1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49</v>
      </c>
      <c r="D94" s="12" t="s">
        <v>22</v>
      </c>
      <c r="E94" s="17" t="s">
        <v>102</v>
      </c>
      <c r="F94" s="13">
        <v>2.0</v>
      </c>
      <c r="G94" s="31" t="s">
        <v>24</v>
      </c>
      <c r="H94" s="13">
        <v>0.0</v>
      </c>
      <c r="I94" s="17" t="s">
        <v>39</v>
      </c>
      <c r="J94" s="149"/>
      <c r="K94" s="150">
        <f t="shared" si="9"/>
        <v>3</v>
      </c>
      <c r="L94" s="151">
        <f t="shared" si="10"/>
        <v>0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49</v>
      </c>
      <c r="D95" s="12" t="s">
        <v>22</v>
      </c>
      <c r="E95" s="17" t="s">
        <v>68</v>
      </c>
      <c r="F95" s="13">
        <v>1.0</v>
      </c>
      <c r="G95" s="31" t="s">
        <v>24</v>
      </c>
      <c r="H95" s="13">
        <v>2.0</v>
      </c>
      <c r="I95" s="17" t="s">
        <v>164</v>
      </c>
      <c r="J95" s="149"/>
      <c r="K95" s="150">
        <f t="shared" si="9"/>
        <v>1</v>
      </c>
      <c r="L95" s="151">
        <f t="shared" si="10"/>
        <v>2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21</v>
      </c>
      <c r="D96" s="12" t="s">
        <v>22</v>
      </c>
      <c r="E96" s="17" t="s">
        <v>40</v>
      </c>
      <c r="F96" s="13">
        <v>0.0</v>
      </c>
      <c r="G96" s="31" t="s">
        <v>24</v>
      </c>
      <c r="H96" s="13">
        <v>2.0</v>
      </c>
      <c r="I96" s="17" t="s">
        <v>199</v>
      </c>
      <c r="J96" s="149"/>
      <c r="K96" s="150">
        <f t="shared" si="9"/>
        <v>0</v>
      </c>
      <c r="L96" s="151">
        <f t="shared" si="10"/>
        <v>3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21</v>
      </c>
      <c r="D97" s="12" t="s">
        <v>22</v>
      </c>
      <c r="E97" s="17" t="s">
        <v>108</v>
      </c>
      <c r="F97" s="13">
        <v>2.0</v>
      </c>
      <c r="G97" s="31" t="s">
        <v>24</v>
      </c>
      <c r="H97" s="13">
        <v>1.0</v>
      </c>
      <c r="I97" s="17" t="s">
        <v>69</v>
      </c>
      <c r="J97" s="149"/>
      <c r="K97" s="150">
        <f t="shared" si="9"/>
        <v>2</v>
      </c>
      <c r="L97" s="151">
        <f t="shared" si="10"/>
        <v>1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</row>
    <row r="98" ht="15.75" customHeight="1">
      <c r="A98" s="66">
        <v>5.0</v>
      </c>
      <c r="B98" s="11">
        <v>46001.0</v>
      </c>
      <c r="C98" s="67" t="s">
        <v>140</v>
      </c>
      <c r="D98" s="12" t="s">
        <v>22</v>
      </c>
      <c r="E98" s="17" t="s">
        <v>64</v>
      </c>
      <c r="F98" s="13">
        <v>2.0</v>
      </c>
      <c r="G98" s="31" t="s">
        <v>24</v>
      </c>
      <c r="H98" s="13">
        <v>0.0</v>
      </c>
      <c r="I98" s="17" t="s">
        <v>130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201</v>
      </c>
      <c r="D99" s="12" t="s">
        <v>22</v>
      </c>
      <c r="E99" s="17" t="s">
        <v>152</v>
      </c>
      <c r="F99" s="160">
        <v>2.0</v>
      </c>
      <c r="G99" s="31" t="s">
        <v>24</v>
      </c>
      <c r="H99" s="13">
        <v>0.0</v>
      </c>
      <c r="I99" s="17" t="s">
        <v>102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142</v>
      </c>
      <c r="D100" s="12" t="s">
        <v>22</v>
      </c>
      <c r="E100" s="17" t="s">
        <v>39</v>
      </c>
      <c r="F100" s="160">
        <v>1.0</v>
      </c>
      <c r="G100" s="31" t="s">
        <v>24</v>
      </c>
      <c r="H100" s="13">
        <v>2.0</v>
      </c>
      <c r="I100" s="17" t="s">
        <v>68</v>
      </c>
      <c r="J100" s="149"/>
      <c r="K100" s="150">
        <f t="shared" si="9"/>
        <v>1</v>
      </c>
      <c r="L100" s="151">
        <f t="shared" si="10"/>
        <v>2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142</v>
      </c>
      <c r="D101" s="12" t="s">
        <v>22</v>
      </c>
      <c r="E101" s="17" t="s">
        <v>164</v>
      </c>
      <c r="F101" s="160">
        <v>2.0</v>
      </c>
      <c r="G101" s="31" t="s">
        <v>24</v>
      </c>
      <c r="H101" s="13">
        <v>0.0</v>
      </c>
      <c r="I101" s="17" t="s">
        <v>40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142</v>
      </c>
      <c r="D102" s="12" t="s">
        <v>22</v>
      </c>
      <c r="E102" s="17" t="s">
        <v>199</v>
      </c>
      <c r="F102" s="160">
        <v>1.0</v>
      </c>
      <c r="G102" s="31" t="s">
        <v>24</v>
      </c>
      <c r="H102" s="13">
        <v>2.0</v>
      </c>
      <c r="I102" s="17" t="s">
        <v>108</v>
      </c>
      <c r="J102" s="149"/>
      <c r="K102" s="150">
        <f t="shared" si="9"/>
        <v>1</v>
      </c>
      <c r="L102" s="151">
        <f t="shared" si="10"/>
        <v>2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69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</row>
    <row r="104" ht="15.75" customHeight="1">
      <c r="A104" s="66">
        <v>6.0</v>
      </c>
      <c r="B104" s="163"/>
      <c r="C104" s="164"/>
      <c r="D104" s="165"/>
      <c r="E104" s="17" t="s">
        <v>130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7" t="s">
        <v>140</v>
      </c>
      <c r="D105" s="12" t="s">
        <v>22</v>
      </c>
      <c r="E105" s="17" t="s">
        <v>102</v>
      </c>
      <c r="F105" s="13">
        <v>1.0</v>
      </c>
      <c r="G105" s="31" t="s">
        <v>24</v>
      </c>
      <c r="H105" s="13">
        <v>2.0</v>
      </c>
      <c r="I105" s="17" t="s">
        <v>64</v>
      </c>
      <c r="J105" s="149"/>
      <c r="K105" s="150">
        <f t="shared" si="9"/>
        <v>1</v>
      </c>
      <c r="L105" s="151">
        <f t="shared" si="10"/>
        <v>2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7" t="s">
        <v>140</v>
      </c>
      <c r="D106" s="12" t="s">
        <v>22</v>
      </c>
      <c r="E106" s="17" t="s">
        <v>68</v>
      </c>
      <c r="F106" s="13">
        <v>2.0</v>
      </c>
      <c r="G106" s="31" t="s">
        <v>24</v>
      </c>
      <c r="H106" s="13">
        <v>1.0</v>
      </c>
      <c r="I106" s="17" t="s">
        <v>152</v>
      </c>
      <c r="J106" s="149"/>
      <c r="K106" s="150">
        <f t="shared" si="9"/>
        <v>2</v>
      </c>
      <c r="L106" s="151">
        <f t="shared" si="10"/>
        <v>1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7" t="s">
        <v>140</v>
      </c>
      <c r="D107" s="12" t="s">
        <v>22</v>
      </c>
      <c r="E107" s="17" t="s">
        <v>40</v>
      </c>
      <c r="F107" s="13">
        <v>2.0</v>
      </c>
      <c r="G107" s="31" t="s">
        <v>24</v>
      </c>
      <c r="H107" s="13">
        <v>1.0</v>
      </c>
      <c r="I107" s="17" t="s">
        <v>39</v>
      </c>
      <c r="J107" s="149"/>
      <c r="K107" s="150">
        <f t="shared" si="9"/>
        <v>2</v>
      </c>
      <c r="L107" s="151">
        <f t="shared" si="10"/>
        <v>1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142</v>
      </c>
      <c r="D108" s="12" t="s">
        <v>22</v>
      </c>
      <c r="E108" s="17" t="s">
        <v>108</v>
      </c>
      <c r="F108" s="13">
        <v>1.0</v>
      </c>
      <c r="G108" s="31" t="s">
        <v>24</v>
      </c>
      <c r="H108" s="13">
        <v>2.0</v>
      </c>
      <c r="I108" s="17" t="s">
        <v>164</v>
      </c>
      <c r="J108" s="149"/>
      <c r="K108" s="150">
        <f t="shared" si="9"/>
        <v>1</v>
      </c>
      <c r="L108" s="151">
        <f t="shared" si="10"/>
        <v>2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142</v>
      </c>
      <c r="D109" s="12" t="s">
        <v>22</v>
      </c>
      <c r="E109" s="17" t="s">
        <v>69</v>
      </c>
      <c r="F109" s="13">
        <v>0.0</v>
      </c>
      <c r="G109" s="31" t="s">
        <v>24</v>
      </c>
      <c r="H109" s="13">
        <v>2.0</v>
      </c>
      <c r="I109" s="17" t="s">
        <v>199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</row>
    <row r="110" ht="15.75" customHeight="1">
      <c r="A110" s="66">
        <v>7.0</v>
      </c>
      <c r="B110" s="11">
        <v>46071.0</v>
      </c>
      <c r="C110" s="12" t="s">
        <v>142</v>
      </c>
      <c r="D110" s="12" t="s">
        <v>22</v>
      </c>
      <c r="E110" s="17" t="s">
        <v>130</v>
      </c>
      <c r="F110" s="13">
        <v>1.0</v>
      </c>
      <c r="G110" s="31" t="s">
        <v>24</v>
      </c>
      <c r="H110" s="13">
        <v>2.0</v>
      </c>
      <c r="I110" s="17" t="s">
        <v>102</v>
      </c>
      <c r="J110" s="149"/>
      <c r="K110" s="150">
        <f t="shared" si="9"/>
        <v>1</v>
      </c>
      <c r="L110" s="151">
        <f t="shared" si="10"/>
        <v>2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7" t="s">
        <v>116</v>
      </c>
      <c r="D111" s="12" t="s">
        <v>22</v>
      </c>
      <c r="E111" s="17" t="s">
        <v>64</v>
      </c>
      <c r="F111" s="13">
        <v>0.0</v>
      </c>
      <c r="G111" s="31" t="s">
        <v>24</v>
      </c>
      <c r="H111" s="13">
        <v>2.0</v>
      </c>
      <c r="I111" s="17" t="s">
        <v>68</v>
      </c>
      <c r="J111" s="149"/>
      <c r="K111" s="150">
        <f t="shared" si="9"/>
        <v>0</v>
      </c>
      <c r="L111" s="151">
        <f t="shared" si="10"/>
        <v>3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7" t="s">
        <v>116</v>
      </c>
      <c r="D112" s="39" t="s">
        <v>22</v>
      </c>
      <c r="E112" s="17" t="s">
        <v>152</v>
      </c>
      <c r="F112" s="13">
        <v>0.0</v>
      </c>
      <c r="G112" s="31" t="s">
        <v>24</v>
      </c>
      <c r="H112" s="13">
        <v>2.0</v>
      </c>
      <c r="I112" s="17" t="s">
        <v>40</v>
      </c>
      <c r="J112" s="149"/>
      <c r="K112" s="150">
        <f t="shared" si="9"/>
        <v>0</v>
      </c>
      <c r="L112" s="151">
        <f t="shared" si="10"/>
        <v>3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7" t="s">
        <v>116</v>
      </c>
      <c r="D113" s="12" t="s">
        <v>22</v>
      </c>
      <c r="E113" s="17" t="s">
        <v>39</v>
      </c>
      <c r="F113" s="13">
        <v>0.0</v>
      </c>
      <c r="G113" s="31" t="s">
        <v>24</v>
      </c>
      <c r="H113" s="13">
        <v>2.0</v>
      </c>
      <c r="I113" s="17" t="s">
        <v>108</v>
      </c>
      <c r="J113" s="149"/>
      <c r="K113" s="150">
        <f t="shared" si="9"/>
        <v>0</v>
      </c>
      <c r="L113" s="151">
        <f t="shared" si="10"/>
        <v>3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7" t="s">
        <v>49</v>
      </c>
      <c r="D114" s="12" t="s">
        <v>22</v>
      </c>
      <c r="E114" s="17" t="s">
        <v>164</v>
      </c>
      <c r="F114" s="13">
        <v>2.0</v>
      </c>
      <c r="G114" s="31" t="s">
        <v>24</v>
      </c>
      <c r="H114" s="13">
        <v>0.0</v>
      </c>
      <c r="I114" s="17" t="s">
        <v>69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199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</row>
    <row r="116" ht="15.75" customHeight="1">
      <c r="A116" s="66">
        <v>8.0</v>
      </c>
      <c r="B116" s="163"/>
      <c r="C116" s="164"/>
      <c r="D116" s="165"/>
      <c r="E116" s="17" t="s">
        <v>102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77</v>
      </c>
      <c r="D117" s="12" t="s">
        <v>22</v>
      </c>
      <c r="E117" s="17" t="s">
        <v>68</v>
      </c>
      <c r="F117" s="13">
        <v>2.0</v>
      </c>
      <c r="G117" s="31" t="s">
        <v>24</v>
      </c>
      <c r="H117" s="13">
        <v>0.0</v>
      </c>
      <c r="I117" s="17" t="s">
        <v>130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77</v>
      </c>
      <c r="D118" s="12" t="s">
        <v>22</v>
      </c>
      <c r="E118" s="17" t="s">
        <v>40</v>
      </c>
      <c r="F118" s="13">
        <v>0.0</v>
      </c>
      <c r="G118" s="31" t="s">
        <v>24</v>
      </c>
      <c r="H118" s="13">
        <v>2.0</v>
      </c>
      <c r="I118" s="17" t="s">
        <v>64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7" t="s">
        <v>49</v>
      </c>
      <c r="D119" s="12" t="s">
        <v>22</v>
      </c>
      <c r="E119" s="17" t="s">
        <v>108</v>
      </c>
      <c r="F119" s="13">
        <v>0.0</v>
      </c>
      <c r="G119" s="31" t="s">
        <v>24</v>
      </c>
      <c r="H119" s="13">
        <v>2.0</v>
      </c>
      <c r="I119" s="17" t="s">
        <v>152</v>
      </c>
      <c r="J119" s="149"/>
      <c r="K119" s="150">
        <f t="shared" si="9"/>
        <v>0</v>
      </c>
      <c r="L119" s="151">
        <f t="shared" si="10"/>
        <v>3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7" t="s">
        <v>49</v>
      </c>
      <c r="D120" s="12" t="s">
        <v>22</v>
      </c>
      <c r="E120" s="17" t="s">
        <v>69</v>
      </c>
      <c r="F120" s="13">
        <v>0.0</v>
      </c>
      <c r="G120" s="31" t="s">
        <v>24</v>
      </c>
      <c r="H120" s="13">
        <v>2.0</v>
      </c>
      <c r="I120" s="17" t="s">
        <v>39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7" t="s">
        <v>49</v>
      </c>
      <c r="D121" s="12" t="s">
        <v>22</v>
      </c>
      <c r="E121" s="17" t="s">
        <v>199</v>
      </c>
      <c r="F121" s="13">
        <v>0.0</v>
      </c>
      <c r="G121" s="31" t="s">
        <v>24</v>
      </c>
      <c r="H121" s="13">
        <v>2.0</v>
      </c>
      <c r="I121" s="17" t="s">
        <v>164</v>
      </c>
      <c r="J121" s="149"/>
      <c r="K121" s="150">
        <f t="shared" si="9"/>
        <v>0</v>
      </c>
      <c r="L121" s="151">
        <f t="shared" si="10"/>
        <v>3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</row>
    <row r="122" ht="15.75" customHeight="1">
      <c r="A122" s="66">
        <v>9.0</v>
      </c>
      <c r="B122" s="11">
        <v>46126.0</v>
      </c>
      <c r="C122" s="67" t="s">
        <v>49</v>
      </c>
      <c r="D122" s="12" t="s">
        <v>22</v>
      </c>
      <c r="E122" s="17" t="s">
        <v>102</v>
      </c>
      <c r="F122" s="13">
        <v>0.0</v>
      </c>
      <c r="G122" s="31" t="s">
        <v>24</v>
      </c>
      <c r="H122" s="13">
        <v>2.0</v>
      </c>
      <c r="I122" s="17" t="s">
        <v>68</v>
      </c>
      <c r="J122" s="149"/>
      <c r="K122" s="150">
        <f t="shared" si="9"/>
        <v>0</v>
      </c>
      <c r="L122" s="151">
        <f t="shared" si="10"/>
        <v>3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7" t="s">
        <v>49</v>
      </c>
      <c r="D123" s="12" t="s">
        <v>22</v>
      </c>
      <c r="E123" s="17" t="s">
        <v>130</v>
      </c>
      <c r="F123" s="13">
        <v>2.0</v>
      </c>
      <c r="G123" s="31" t="s">
        <v>24</v>
      </c>
      <c r="H123" s="13">
        <v>1.0</v>
      </c>
      <c r="I123" s="17" t="s">
        <v>40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7" t="s">
        <v>21</v>
      </c>
      <c r="D124" s="12" t="s">
        <v>22</v>
      </c>
      <c r="E124" s="17" t="s">
        <v>64</v>
      </c>
      <c r="F124" s="13">
        <v>1.0</v>
      </c>
      <c r="G124" s="31" t="s">
        <v>24</v>
      </c>
      <c r="H124" s="13">
        <v>2.0</v>
      </c>
      <c r="I124" s="17" t="s">
        <v>108</v>
      </c>
      <c r="J124" s="149"/>
      <c r="K124" s="150">
        <f t="shared" si="9"/>
        <v>1</v>
      </c>
      <c r="L124" s="151">
        <f t="shared" si="10"/>
        <v>2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7" t="s">
        <v>21</v>
      </c>
      <c r="D125" s="12" t="s">
        <v>22</v>
      </c>
      <c r="E125" s="17" t="s">
        <v>152</v>
      </c>
      <c r="F125" s="13">
        <v>2.0</v>
      </c>
      <c r="G125" s="31" t="s">
        <v>24</v>
      </c>
      <c r="H125" s="13">
        <v>0.0</v>
      </c>
      <c r="I125" s="17" t="s">
        <v>69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7" t="s">
        <v>21</v>
      </c>
      <c r="D126" s="12" t="s">
        <v>22</v>
      </c>
      <c r="E126" s="17" t="s">
        <v>39</v>
      </c>
      <c r="F126" s="13">
        <v>0.0</v>
      </c>
      <c r="G126" s="31" t="s">
        <v>24</v>
      </c>
      <c r="H126" s="13">
        <v>2.0</v>
      </c>
      <c r="I126" s="17" t="s">
        <v>199</v>
      </c>
      <c r="J126" s="149"/>
      <c r="K126" s="150">
        <f t="shared" si="9"/>
        <v>0</v>
      </c>
      <c r="L126" s="151">
        <f t="shared" si="10"/>
        <v>3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164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68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30</v>
      </c>
      <c r="D129" s="12" t="s">
        <v>22</v>
      </c>
      <c r="E129" s="17" t="s">
        <v>40</v>
      </c>
      <c r="F129" s="13">
        <v>1.0</v>
      </c>
      <c r="G129" s="31" t="s">
        <v>24</v>
      </c>
      <c r="H129" s="13">
        <v>2.0</v>
      </c>
      <c r="I129" s="17" t="s">
        <v>102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30</v>
      </c>
      <c r="D130" s="12" t="s">
        <v>22</v>
      </c>
      <c r="E130" s="17" t="s">
        <v>108</v>
      </c>
      <c r="F130" s="13">
        <v>2.0</v>
      </c>
      <c r="G130" s="31" t="s">
        <v>24</v>
      </c>
      <c r="H130" s="13">
        <v>0.0</v>
      </c>
      <c r="I130" s="17" t="s">
        <v>130</v>
      </c>
      <c r="J130" s="149"/>
      <c r="K130" s="150">
        <f t="shared" si="9"/>
        <v>3</v>
      </c>
      <c r="L130" s="151">
        <f t="shared" si="10"/>
        <v>0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30</v>
      </c>
      <c r="D131" s="12" t="s">
        <v>22</v>
      </c>
      <c r="E131" s="17" t="s">
        <v>69</v>
      </c>
      <c r="F131" s="13">
        <v>0.0</v>
      </c>
      <c r="G131" s="31" t="s">
        <v>24</v>
      </c>
      <c r="H131" s="13">
        <v>2.0</v>
      </c>
      <c r="I131" s="17" t="s">
        <v>64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35</v>
      </c>
      <c r="D132" s="12" t="s">
        <v>22</v>
      </c>
      <c r="E132" s="17" t="s">
        <v>199</v>
      </c>
      <c r="F132" s="13">
        <v>1.0</v>
      </c>
      <c r="G132" s="31" t="s">
        <v>24</v>
      </c>
      <c r="H132" s="13">
        <v>2.0</v>
      </c>
      <c r="I132" s="17" t="s">
        <v>152</v>
      </c>
      <c r="J132" s="149"/>
      <c r="K132" s="150">
        <f t="shared" si="9"/>
        <v>1</v>
      </c>
      <c r="L132" s="151">
        <f t="shared" si="10"/>
        <v>2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35</v>
      </c>
      <c r="D133" s="12" t="s">
        <v>22</v>
      </c>
      <c r="E133" s="17" t="s">
        <v>164</v>
      </c>
      <c r="F133" s="13">
        <v>2.0</v>
      </c>
      <c r="G133" s="31" t="s">
        <v>24</v>
      </c>
      <c r="H133" s="13">
        <v>0.0</v>
      </c>
      <c r="I133" s="17" t="s">
        <v>39</v>
      </c>
      <c r="J133" s="149"/>
      <c r="K133" s="150">
        <f t="shared" si="9"/>
        <v>3</v>
      </c>
      <c r="L133" s="151">
        <f t="shared" si="10"/>
        <v>0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</row>
    <row r="134" ht="15.75" customHeight="1">
      <c r="A134" s="66">
        <v>11.0</v>
      </c>
      <c r="B134" s="11">
        <v>46147.0</v>
      </c>
      <c r="C134" s="67" t="s">
        <v>49</v>
      </c>
      <c r="D134" s="12" t="s">
        <v>22</v>
      </c>
      <c r="E134" s="17" t="s">
        <v>68</v>
      </c>
      <c r="F134" s="13">
        <v>2.0</v>
      </c>
      <c r="G134" s="31" t="s">
        <v>24</v>
      </c>
      <c r="H134" s="13">
        <v>0.0</v>
      </c>
      <c r="I134" s="17" t="s">
        <v>40</v>
      </c>
      <c r="J134" s="149"/>
      <c r="K134" s="150">
        <f t="shared" si="9"/>
        <v>3</v>
      </c>
      <c r="L134" s="151">
        <f t="shared" si="10"/>
        <v>0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7" t="s">
        <v>49</v>
      </c>
      <c r="D135" s="12" t="s">
        <v>22</v>
      </c>
      <c r="E135" s="17" t="s">
        <v>102</v>
      </c>
      <c r="F135" s="13">
        <v>2.0</v>
      </c>
      <c r="G135" s="31" t="s">
        <v>24</v>
      </c>
      <c r="H135" s="13">
        <v>0.0</v>
      </c>
      <c r="I135" s="17" t="s">
        <v>108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7" t="s">
        <v>21</v>
      </c>
      <c r="D136" s="12" t="s">
        <v>22</v>
      </c>
      <c r="E136" s="17" t="s">
        <v>130</v>
      </c>
      <c r="F136" s="13">
        <v>2.0</v>
      </c>
      <c r="G136" s="31" t="s">
        <v>24</v>
      </c>
      <c r="H136" s="13">
        <v>0.0</v>
      </c>
      <c r="I136" s="17" t="s">
        <v>69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7" t="s">
        <v>21</v>
      </c>
      <c r="D137" s="12" t="s">
        <v>22</v>
      </c>
      <c r="E137" s="17" t="s">
        <v>64</v>
      </c>
      <c r="F137" s="13">
        <v>1.0</v>
      </c>
      <c r="G137" s="31" t="s">
        <v>24</v>
      </c>
      <c r="H137" s="13">
        <v>2.0</v>
      </c>
      <c r="I137" s="17" t="s">
        <v>199</v>
      </c>
      <c r="J137" s="149"/>
      <c r="K137" s="150">
        <f t="shared" si="9"/>
        <v>1</v>
      </c>
      <c r="L137" s="151">
        <f t="shared" si="10"/>
        <v>2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7" t="s">
        <v>21</v>
      </c>
      <c r="D138" s="12" t="s">
        <v>22</v>
      </c>
      <c r="E138" s="17" t="s">
        <v>152</v>
      </c>
      <c r="F138" s="13">
        <v>0.0</v>
      </c>
      <c r="G138" s="31" t="s">
        <v>24</v>
      </c>
      <c r="H138" s="13">
        <v>2.0</v>
      </c>
      <c r="I138" s="17" t="s">
        <v>164</v>
      </c>
      <c r="J138" s="149"/>
      <c r="K138" s="150">
        <f t="shared" si="9"/>
        <v>0</v>
      </c>
      <c r="L138" s="151">
        <f t="shared" si="10"/>
        <v>3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63"/>
      <c r="C139" s="165"/>
      <c r="D139" s="165"/>
      <c r="E139" s="17" t="s">
        <v>39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</row>
    <row r="141" ht="15.75" customHeight="1">
      <c r="A141" s="161"/>
      <c r="B141" s="162"/>
      <c r="C141" s="162"/>
      <c r="D141" s="162"/>
      <c r="E141" s="43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</row>
    <row r="142" ht="15.75" customHeight="1">
      <c r="A142" s="161"/>
      <c r="B142" s="162"/>
      <c r="C142" s="162"/>
      <c r="D142" s="162"/>
      <c r="E142" s="43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</row>
    <row r="143" ht="15.75" customHeight="1">
      <c r="A143" s="161"/>
      <c r="B143" s="162"/>
      <c r="C143" s="162"/>
      <c r="D143" s="162"/>
      <c r="E143" s="43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</row>
    <row r="144" ht="15.75" customHeight="1">
      <c r="A144" s="171" t="s">
        <v>202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194</v>
      </c>
      <c r="U145" s="9" t="s">
        <v>195</v>
      </c>
      <c r="V145" s="9" t="s">
        <v>196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194</v>
      </c>
      <c r="AH145" s="5" t="s">
        <v>195</v>
      </c>
      <c r="AI145" s="5" t="s">
        <v>196</v>
      </c>
    </row>
    <row r="146" ht="15.75" customHeight="1">
      <c r="A146" s="66">
        <v>1.0</v>
      </c>
      <c r="B146" s="11">
        <v>45944.0</v>
      </c>
      <c r="C146" s="12" t="s">
        <v>75</v>
      </c>
      <c r="D146" s="12" t="s">
        <v>22</v>
      </c>
      <c r="E146" s="17" t="s">
        <v>121</v>
      </c>
      <c r="F146" s="13">
        <v>2.0</v>
      </c>
      <c r="G146" s="31" t="s">
        <v>24</v>
      </c>
      <c r="H146" s="13">
        <v>1.0</v>
      </c>
      <c r="I146" s="17" t="s">
        <v>60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121</v>
      </c>
      <c r="P146" s="151">
        <f t="shared" ref="P146:P156" si="19">SUMIF(E$146:E$211,O146,K$146:K$211)+SUMIF(I$146:I$211,O146,L$146:L$211)</f>
        <v>20</v>
      </c>
      <c r="Q146" s="153">
        <f t="shared" ref="Q146:Q156" si="20">COUNTIFS(E$146:E$211,O146,K$146:K$211,2)+COUNTIFS(I$146:I$211,O146,L$146:L$211,2)+COUNTIFS(E$146:E$211,O146,K$146:K$211,3)+COUNTIFS(I$146:I$211,O146,L$146:L$211,3)</f>
        <v>7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3</v>
      </c>
      <c r="T146" s="151">
        <f t="shared" ref="T146:T156" si="22">SUMIF(E$146:E$211,O146,F$146:F$211)+SUMIF(I$146:I$211,O146,H$146:H$211)</f>
        <v>15</v>
      </c>
      <c r="U146" s="154">
        <f t="shared" ref="U146:U156" si="23">SUMIF(E$146:E$211,O146,H$146:H$211)+SUMIF(I$146:I$211,O146,F$146:F$211)</f>
        <v>8</v>
      </c>
      <c r="V146" s="151">
        <f t="shared" ref="V146:V156" si="24">T146-U146</f>
        <v>7</v>
      </c>
      <c r="X146" s="136" t="s">
        <v>26</v>
      </c>
      <c r="Y146" s="136" t="s">
        <v>13</v>
      </c>
      <c r="AA146" s="46" t="s">
        <v>29</v>
      </c>
      <c r="AB146" s="71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75</v>
      </c>
      <c r="D147" s="12" t="s">
        <v>22</v>
      </c>
      <c r="E147" s="17" t="s">
        <v>45</v>
      </c>
      <c r="F147" s="13">
        <v>2.0</v>
      </c>
      <c r="G147" s="31" t="s">
        <v>24</v>
      </c>
      <c r="H147" s="13">
        <v>0.0</v>
      </c>
      <c r="I147" s="17" t="s">
        <v>42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151</v>
      </c>
      <c r="P147" s="151">
        <f t="shared" si="19"/>
        <v>20</v>
      </c>
      <c r="Q147" s="153">
        <f t="shared" si="20"/>
        <v>7</v>
      </c>
      <c r="R147" s="154"/>
      <c r="S147" s="154">
        <f t="shared" si="21"/>
        <v>3</v>
      </c>
      <c r="T147" s="151">
        <f t="shared" si="22"/>
        <v>16</v>
      </c>
      <c r="U147" s="154">
        <f t="shared" si="23"/>
        <v>9</v>
      </c>
      <c r="V147" s="151">
        <f t="shared" si="24"/>
        <v>7</v>
      </c>
      <c r="X147" s="137" t="s">
        <v>33</v>
      </c>
      <c r="Y147" s="137">
        <v>3.0</v>
      </c>
      <c r="AA147" s="124" t="s">
        <v>106</v>
      </c>
      <c r="AB147" s="71" t="s">
        <v>45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128</v>
      </c>
      <c r="D148" s="12" t="s">
        <v>22</v>
      </c>
      <c r="E148" s="17" t="s">
        <v>203</v>
      </c>
      <c r="F148" s="13">
        <v>2.0</v>
      </c>
      <c r="G148" s="31" t="s">
        <v>24</v>
      </c>
      <c r="H148" s="13">
        <v>0.0</v>
      </c>
      <c r="I148" s="17" t="s">
        <v>65</v>
      </c>
      <c r="J148" s="149"/>
      <c r="K148" s="150">
        <f t="shared" si="17"/>
        <v>3</v>
      </c>
      <c r="L148" s="151">
        <f t="shared" si="18"/>
        <v>0</v>
      </c>
      <c r="M148" s="149"/>
      <c r="N148" s="151">
        <v>3.0</v>
      </c>
      <c r="O148" s="152" t="s">
        <v>60</v>
      </c>
      <c r="P148" s="151">
        <f t="shared" si="19"/>
        <v>25</v>
      </c>
      <c r="Q148" s="153">
        <f t="shared" si="20"/>
        <v>8</v>
      </c>
      <c r="R148" s="154"/>
      <c r="S148" s="154">
        <f t="shared" si="21"/>
        <v>2</v>
      </c>
      <c r="T148" s="151">
        <f t="shared" si="22"/>
        <v>18</v>
      </c>
      <c r="U148" s="154">
        <f t="shared" si="23"/>
        <v>5</v>
      </c>
      <c r="V148" s="151">
        <f t="shared" si="24"/>
        <v>13</v>
      </c>
      <c r="X148" s="137" t="s">
        <v>40</v>
      </c>
      <c r="Y148" s="137">
        <v>0.0</v>
      </c>
      <c r="AA148" s="22">
        <v>3.0</v>
      </c>
      <c r="AB148" s="71" t="s">
        <v>121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127</v>
      </c>
      <c r="D149" s="12" t="s">
        <v>22</v>
      </c>
      <c r="E149" s="17" t="s">
        <v>59</v>
      </c>
      <c r="F149" s="13">
        <v>1.0</v>
      </c>
      <c r="G149" s="31" t="s">
        <v>24</v>
      </c>
      <c r="H149" s="13">
        <v>2.0</v>
      </c>
      <c r="I149" s="17" t="s">
        <v>104</v>
      </c>
      <c r="J149" s="149"/>
      <c r="K149" s="150">
        <f t="shared" si="17"/>
        <v>1</v>
      </c>
      <c r="L149" s="151">
        <f t="shared" si="18"/>
        <v>2</v>
      </c>
      <c r="M149" s="149"/>
      <c r="N149" s="151">
        <v>4.0</v>
      </c>
      <c r="O149" s="152" t="s">
        <v>63</v>
      </c>
      <c r="P149" s="151">
        <f t="shared" si="19"/>
        <v>5</v>
      </c>
      <c r="Q149" s="153">
        <f t="shared" si="20"/>
        <v>2</v>
      </c>
      <c r="R149" s="154"/>
      <c r="S149" s="154">
        <f t="shared" si="21"/>
        <v>8</v>
      </c>
      <c r="T149" s="151">
        <f t="shared" si="22"/>
        <v>4</v>
      </c>
      <c r="U149" s="154">
        <f t="shared" si="23"/>
        <v>17</v>
      </c>
      <c r="V149" s="151">
        <f t="shared" si="24"/>
        <v>-13</v>
      </c>
      <c r="AA149" s="22">
        <v>4.0</v>
      </c>
      <c r="AB149" s="71" t="s">
        <v>151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127</v>
      </c>
      <c r="D150" s="12" t="s">
        <v>22</v>
      </c>
      <c r="E150" s="17" t="s">
        <v>63</v>
      </c>
      <c r="F150" s="13">
        <v>0.0</v>
      </c>
      <c r="G150" s="31" t="s">
        <v>24</v>
      </c>
      <c r="H150" s="13">
        <v>2.0</v>
      </c>
      <c r="I150" s="17" t="s">
        <v>33</v>
      </c>
      <c r="J150" s="149"/>
      <c r="K150" s="150">
        <f t="shared" si="17"/>
        <v>0</v>
      </c>
      <c r="L150" s="151">
        <f t="shared" si="18"/>
        <v>3</v>
      </c>
      <c r="M150" s="149"/>
      <c r="N150" s="151">
        <v>5.0</v>
      </c>
      <c r="O150" s="152" t="s">
        <v>42</v>
      </c>
      <c r="P150" s="151">
        <f t="shared" si="19"/>
        <v>6</v>
      </c>
      <c r="Q150" s="153">
        <f t="shared" si="20"/>
        <v>1</v>
      </c>
      <c r="R150" s="154"/>
      <c r="S150" s="154">
        <f t="shared" si="21"/>
        <v>9</v>
      </c>
      <c r="T150" s="151">
        <f t="shared" si="22"/>
        <v>5</v>
      </c>
      <c r="U150" s="154">
        <f t="shared" si="23"/>
        <v>18</v>
      </c>
      <c r="V150" s="151">
        <f t="shared" si="24"/>
        <v>-13</v>
      </c>
      <c r="AA150" s="22">
        <v>5.0</v>
      </c>
      <c r="AB150" s="71" t="s">
        <v>33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151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59</v>
      </c>
      <c r="P151" s="151">
        <f t="shared" si="19"/>
        <v>16</v>
      </c>
      <c r="Q151" s="153">
        <f t="shared" si="20"/>
        <v>5</v>
      </c>
      <c r="R151" s="154"/>
      <c r="S151" s="154">
        <f t="shared" si="21"/>
        <v>5</v>
      </c>
      <c r="T151" s="151">
        <f t="shared" si="22"/>
        <v>11</v>
      </c>
      <c r="U151" s="154">
        <f t="shared" si="23"/>
        <v>10</v>
      </c>
      <c r="V151" s="151">
        <f t="shared" si="24"/>
        <v>1</v>
      </c>
      <c r="AA151" s="22">
        <v>6.0</v>
      </c>
      <c r="AB151" s="71" t="s">
        <v>59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6">
        <v>2.0</v>
      </c>
      <c r="B152" s="163"/>
      <c r="C152" s="164"/>
      <c r="D152" s="165"/>
      <c r="E152" s="17" t="s">
        <v>60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65</v>
      </c>
      <c r="P152" s="151">
        <f t="shared" si="19"/>
        <v>5</v>
      </c>
      <c r="Q152" s="153">
        <f t="shared" si="20"/>
        <v>2</v>
      </c>
      <c r="R152" s="154"/>
      <c r="S152" s="154">
        <f t="shared" si="21"/>
        <v>8</v>
      </c>
      <c r="T152" s="151">
        <f t="shared" si="22"/>
        <v>4</v>
      </c>
      <c r="U152" s="154">
        <f t="shared" si="23"/>
        <v>17</v>
      </c>
      <c r="V152" s="151">
        <f t="shared" si="24"/>
        <v>-13</v>
      </c>
      <c r="AA152" s="22">
        <v>7.0</v>
      </c>
      <c r="AB152" s="71" t="s">
        <v>104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127</v>
      </c>
      <c r="D153" s="12" t="s">
        <v>22</v>
      </c>
      <c r="E153" s="17" t="s">
        <v>42</v>
      </c>
      <c r="F153" s="13">
        <v>1.0</v>
      </c>
      <c r="G153" s="31" t="s">
        <v>24</v>
      </c>
      <c r="H153" s="13">
        <v>2.0</v>
      </c>
      <c r="I153" s="17" t="s">
        <v>121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203</v>
      </c>
      <c r="P153" s="151">
        <f t="shared" si="19"/>
        <v>11</v>
      </c>
      <c r="Q153" s="153">
        <f t="shared" si="20"/>
        <v>3</v>
      </c>
      <c r="R153" s="154"/>
      <c r="S153" s="154">
        <f t="shared" si="21"/>
        <v>7</v>
      </c>
      <c r="T153" s="151">
        <f t="shared" si="22"/>
        <v>8</v>
      </c>
      <c r="U153" s="154">
        <f t="shared" si="23"/>
        <v>14</v>
      </c>
      <c r="V153" s="151">
        <f t="shared" si="24"/>
        <v>-6</v>
      </c>
      <c r="AA153" s="22">
        <v>8.0</v>
      </c>
      <c r="AB153" s="71" t="s">
        <v>203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7" t="s">
        <v>54</v>
      </c>
      <c r="D154" s="12" t="s">
        <v>22</v>
      </c>
      <c r="E154" s="17" t="s">
        <v>65</v>
      </c>
      <c r="F154" s="13">
        <v>0.0</v>
      </c>
      <c r="G154" s="31" t="s">
        <v>24</v>
      </c>
      <c r="H154" s="13">
        <v>2.0</v>
      </c>
      <c r="I154" s="17" t="s">
        <v>45</v>
      </c>
      <c r="J154" s="149"/>
      <c r="K154" s="150">
        <f t="shared" si="17"/>
        <v>0</v>
      </c>
      <c r="L154" s="151">
        <f t="shared" si="18"/>
        <v>3</v>
      </c>
      <c r="M154" s="149"/>
      <c r="N154" s="151">
        <v>9.0</v>
      </c>
      <c r="O154" s="152" t="s">
        <v>104</v>
      </c>
      <c r="P154" s="151">
        <f t="shared" si="19"/>
        <v>15</v>
      </c>
      <c r="Q154" s="153">
        <f t="shared" si="20"/>
        <v>6</v>
      </c>
      <c r="R154" s="154"/>
      <c r="S154" s="154">
        <f t="shared" si="21"/>
        <v>4</v>
      </c>
      <c r="T154" s="151">
        <f t="shared" si="22"/>
        <v>13</v>
      </c>
      <c r="U154" s="154">
        <f t="shared" si="23"/>
        <v>12</v>
      </c>
      <c r="V154" s="151">
        <f t="shared" si="24"/>
        <v>1</v>
      </c>
      <c r="AA154" s="22">
        <v>9.0</v>
      </c>
      <c r="AB154" s="71" t="s">
        <v>42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7" t="s">
        <v>21</v>
      </c>
      <c r="D155" s="12" t="s">
        <v>22</v>
      </c>
      <c r="E155" s="17" t="s">
        <v>104</v>
      </c>
      <c r="F155" s="13">
        <v>2.0</v>
      </c>
      <c r="G155" s="31" t="s">
        <v>24</v>
      </c>
      <c r="H155" s="13">
        <v>1.0</v>
      </c>
      <c r="I155" s="17" t="s">
        <v>203</v>
      </c>
      <c r="J155" s="149"/>
      <c r="K155" s="150">
        <f t="shared" si="17"/>
        <v>2</v>
      </c>
      <c r="L155" s="151">
        <f t="shared" si="18"/>
        <v>1</v>
      </c>
      <c r="M155" s="149"/>
      <c r="N155" s="151">
        <v>10.0</v>
      </c>
      <c r="O155" s="152" t="s">
        <v>45</v>
      </c>
      <c r="P155" s="151">
        <f t="shared" si="19"/>
        <v>22</v>
      </c>
      <c r="Q155" s="153">
        <f t="shared" si="20"/>
        <v>7</v>
      </c>
      <c r="R155" s="154"/>
      <c r="S155" s="154">
        <f t="shared" si="21"/>
        <v>3</v>
      </c>
      <c r="T155" s="151">
        <f t="shared" si="22"/>
        <v>15</v>
      </c>
      <c r="U155" s="154">
        <f t="shared" si="23"/>
        <v>6</v>
      </c>
      <c r="V155" s="151">
        <f t="shared" si="24"/>
        <v>9</v>
      </c>
      <c r="AA155" s="22">
        <v>10.0</v>
      </c>
      <c r="AB155" s="71" t="s">
        <v>63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7" t="s">
        <v>51</v>
      </c>
      <c r="D156" s="12" t="s">
        <v>22</v>
      </c>
      <c r="E156" s="17" t="s">
        <v>33</v>
      </c>
      <c r="F156" s="13">
        <v>0.0</v>
      </c>
      <c r="G156" s="31" t="s">
        <v>24</v>
      </c>
      <c r="H156" s="13">
        <v>2.0</v>
      </c>
      <c r="I156" s="17" t="s">
        <v>59</v>
      </c>
      <c r="J156" s="149"/>
      <c r="K156" s="150">
        <f t="shared" si="17"/>
        <v>0</v>
      </c>
      <c r="L156" s="151">
        <f t="shared" si="18"/>
        <v>3</v>
      </c>
      <c r="M156" s="149"/>
      <c r="N156" s="166">
        <v>11.0</v>
      </c>
      <c r="O156" s="166" t="s">
        <v>33</v>
      </c>
      <c r="P156" s="151">
        <f t="shared" si="19"/>
        <v>20</v>
      </c>
      <c r="Q156" s="153">
        <f t="shared" si="20"/>
        <v>7</v>
      </c>
      <c r="S156" s="154">
        <f t="shared" si="21"/>
        <v>3</v>
      </c>
      <c r="T156" s="151">
        <f t="shared" si="22"/>
        <v>15</v>
      </c>
      <c r="U156" s="154">
        <f t="shared" si="23"/>
        <v>8</v>
      </c>
      <c r="V156" s="151">
        <f t="shared" si="24"/>
        <v>7</v>
      </c>
      <c r="AA156" s="53">
        <v>11.0</v>
      </c>
      <c r="AB156" s="71" t="s">
        <v>65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7" t="s">
        <v>51</v>
      </c>
      <c r="D157" s="12" t="s">
        <v>22</v>
      </c>
      <c r="E157" s="17" t="s">
        <v>151</v>
      </c>
      <c r="F157" s="13">
        <v>1.0</v>
      </c>
      <c r="G157" s="31" t="s">
        <v>24</v>
      </c>
      <c r="H157" s="13">
        <v>2.0</v>
      </c>
      <c r="I157" s="17" t="s">
        <v>63</v>
      </c>
      <c r="J157" s="149"/>
      <c r="K157" s="150">
        <f t="shared" si="17"/>
        <v>1</v>
      </c>
      <c r="L157" s="151">
        <f t="shared" si="18"/>
        <v>2</v>
      </c>
      <c r="M157" s="149"/>
      <c r="AA157" s="35" t="s">
        <v>204</v>
      </c>
      <c r="AD157" s="37"/>
      <c r="AE157" s="37"/>
      <c r="AF157" s="3"/>
      <c r="AG157" s="3"/>
      <c r="AH157" s="3"/>
      <c r="AI157" s="3"/>
    </row>
    <row r="158" ht="15.75" customHeight="1">
      <c r="A158" s="66">
        <v>3.0</v>
      </c>
      <c r="B158" s="11">
        <v>45967.0</v>
      </c>
      <c r="C158" s="12" t="s">
        <v>49</v>
      </c>
      <c r="D158" s="12" t="s">
        <v>22</v>
      </c>
      <c r="E158" s="17" t="s">
        <v>60</v>
      </c>
      <c r="F158" s="13">
        <v>2.0</v>
      </c>
      <c r="G158" s="31" t="s">
        <v>24</v>
      </c>
      <c r="H158" s="13">
        <v>0.0</v>
      </c>
      <c r="I158" s="17" t="s">
        <v>42</v>
      </c>
      <c r="J158" s="149"/>
      <c r="K158" s="150">
        <f t="shared" si="17"/>
        <v>3</v>
      </c>
      <c r="L158" s="151">
        <f t="shared" si="18"/>
        <v>0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96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49</v>
      </c>
      <c r="D159" s="12" t="s">
        <v>22</v>
      </c>
      <c r="E159" s="17" t="s">
        <v>121</v>
      </c>
      <c r="F159" s="13">
        <v>2.0</v>
      </c>
      <c r="G159" s="31" t="s">
        <v>24</v>
      </c>
      <c r="H159" s="13">
        <v>0.0</v>
      </c>
      <c r="I159" s="17" t="s">
        <v>65</v>
      </c>
      <c r="J159" s="149"/>
      <c r="K159" s="150">
        <f t="shared" si="17"/>
        <v>3</v>
      </c>
      <c r="L159" s="151">
        <f t="shared" si="18"/>
        <v>0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G159" s="3"/>
      <c r="AH159" s="3"/>
      <c r="AI159" s="3"/>
    </row>
    <row r="160" ht="15.75" customHeight="1">
      <c r="A160" s="25"/>
      <c r="B160" s="11">
        <v>45967.0</v>
      </c>
      <c r="C160" s="12" t="s">
        <v>49</v>
      </c>
      <c r="D160" s="12" t="s">
        <v>22</v>
      </c>
      <c r="E160" s="17" t="s">
        <v>45</v>
      </c>
      <c r="F160" s="13">
        <v>2.0</v>
      </c>
      <c r="G160" s="31" t="s">
        <v>24</v>
      </c>
      <c r="H160" s="13">
        <v>0.0</v>
      </c>
      <c r="I160" s="17" t="s">
        <v>104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G160" s="3"/>
      <c r="AH160" s="3"/>
      <c r="AI160" s="3"/>
    </row>
    <row r="161" ht="15.75" customHeight="1">
      <c r="A161" s="25"/>
      <c r="B161" s="11">
        <v>45967.0</v>
      </c>
      <c r="C161" s="12" t="s">
        <v>21</v>
      </c>
      <c r="D161" s="12" t="s">
        <v>22</v>
      </c>
      <c r="E161" s="17" t="s">
        <v>203</v>
      </c>
      <c r="F161" s="13">
        <v>0.0</v>
      </c>
      <c r="G161" s="31" t="s">
        <v>24</v>
      </c>
      <c r="H161" s="13">
        <v>2.0</v>
      </c>
      <c r="I161" s="17" t="s">
        <v>33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</row>
    <row r="162" ht="15.75" customHeight="1">
      <c r="A162" s="25"/>
      <c r="B162" s="11">
        <v>45967.0</v>
      </c>
      <c r="C162" s="12" t="s">
        <v>21</v>
      </c>
      <c r="D162" s="12" t="s">
        <v>22</v>
      </c>
      <c r="E162" s="17" t="s">
        <v>59</v>
      </c>
      <c r="F162" s="13">
        <v>0.0</v>
      </c>
      <c r="G162" s="31" t="s">
        <v>24</v>
      </c>
      <c r="H162" s="13">
        <v>2.0</v>
      </c>
      <c r="I162" s="17" t="s">
        <v>151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63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A163" s="82" t="s">
        <v>98</v>
      </c>
      <c r="AB163" s="83"/>
      <c r="AC163" s="83"/>
      <c r="AD163" s="83"/>
      <c r="AE163" s="83"/>
      <c r="AF163" s="83"/>
      <c r="AG163" s="83"/>
      <c r="AH163" s="83"/>
      <c r="AI163" s="84"/>
    </row>
    <row r="164" ht="15.75" customHeight="1">
      <c r="A164" s="143">
        <v>4.0</v>
      </c>
      <c r="B164" s="163"/>
      <c r="C164" s="165"/>
      <c r="D164" s="165"/>
      <c r="E164" s="17" t="s">
        <v>42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A164" s="85"/>
      <c r="AB164" s="86"/>
      <c r="AC164" s="86"/>
      <c r="AD164" s="86"/>
      <c r="AE164" s="86"/>
      <c r="AF164" s="86"/>
      <c r="AG164" s="86"/>
      <c r="AH164" s="86"/>
      <c r="AI164" s="87"/>
    </row>
    <row r="165" ht="15.75" customHeight="1">
      <c r="A165" s="25"/>
      <c r="B165" s="11">
        <v>45981.0</v>
      </c>
      <c r="C165" s="12" t="s">
        <v>21</v>
      </c>
      <c r="D165" s="12" t="s">
        <v>22</v>
      </c>
      <c r="E165" s="17" t="s">
        <v>65</v>
      </c>
      <c r="F165" s="13">
        <v>0.0</v>
      </c>
      <c r="G165" s="31" t="s">
        <v>24</v>
      </c>
      <c r="H165" s="13">
        <v>2.0</v>
      </c>
      <c r="I165" s="17" t="s">
        <v>60</v>
      </c>
      <c r="J165" s="149"/>
      <c r="K165" s="150">
        <f t="shared" si="17"/>
        <v>0</v>
      </c>
      <c r="L165" s="151">
        <f t="shared" si="18"/>
        <v>3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A165" s="5" t="s">
        <v>11</v>
      </c>
      <c r="AB165" s="5" t="s">
        <v>12</v>
      </c>
      <c r="AC165" s="5" t="s">
        <v>13</v>
      </c>
      <c r="AD165" s="5" t="s">
        <v>14</v>
      </c>
      <c r="AE165" s="5" t="s">
        <v>15</v>
      </c>
      <c r="AF165" s="5" t="s">
        <v>16</v>
      </c>
      <c r="AG165" s="5" t="s">
        <v>194</v>
      </c>
      <c r="AH165" s="5" t="s">
        <v>195</v>
      </c>
      <c r="AI165" s="5" t="s">
        <v>196</v>
      </c>
    </row>
    <row r="166" ht="15.75" customHeight="1">
      <c r="A166" s="25"/>
      <c r="B166" s="11">
        <v>45980.0</v>
      </c>
      <c r="C166" s="12" t="s">
        <v>116</v>
      </c>
      <c r="D166" s="12" t="s">
        <v>22</v>
      </c>
      <c r="E166" s="17" t="s">
        <v>104</v>
      </c>
      <c r="F166" s="13">
        <v>2.0</v>
      </c>
      <c r="G166" s="31" t="s">
        <v>24</v>
      </c>
      <c r="H166" s="13">
        <v>1.0</v>
      </c>
      <c r="I166" s="17" t="s">
        <v>121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A166" s="46" t="s">
        <v>29</v>
      </c>
      <c r="AB166" s="71" t="s">
        <v>60</v>
      </c>
      <c r="AC166" s="23">
        <v>25.0</v>
      </c>
      <c r="AD166" s="23">
        <v>8.0</v>
      </c>
      <c r="AE166" s="24"/>
      <c r="AF166" s="24">
        <v>2.0</v>
      </c>
      <c r="AG166" s="23">
        <v>18.0</v>
      </c>
      <c r="AH166" s="24">
        <v>5.0</v>
      </c>
      <c r="AI166" s="23">
        <v>13.0</v>
      </c>
    </row>
    <row r="167" ht="15.75" customHeight="1">
      <c r="A167" s="25"/>
      <c r="B167" s="11">
        <v>45980.0</v>
      </c>
      <c r="C167" s="12" t="s">
        <v>116</v>
      </c>
      <c r="D167" s="12" t="s">
        <v>22</v>
      </c>
      <c r="E167" s="17" t="s">
        <v>33</v>
      </c>
      <c r="F167" s="13">
        <v>2.0</v>
      </c>
      <c r="G167" s="31" t="s">
        <v>24</v>
      </c>
      <c r="H167" s="13">
        <v>1.0</v>
      </c>
      <c r="I167" s="17" t="s">
        <v>45</v>
      </c>
      <c r="J167" s="149"/>
      <c r="K167" s="150">
        <f t="shared" si="17"/>
        <v>2</v>
      </c>
      <c r="L167" s="151">
        <f t="shared" si="18"/>
        <v>1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124" t="s">
        <v>106</v>
      </c>
      <c r="AB167" s="71" t="s">
        <v>45</v>
      </c>
      <c r="AC167" s="23">
        <v>22.0</v>
      </c>
      <c r="AD167" s="23">
        <v>7.0</v>
      </c>
      <c r="AE167" s="24"/>
      <c r="AF167" s="24">
        <v>3.0</v>
      </c>
      <c r="AG167" s="23">
        <v>15.0</v>
      </c>
      <c r="AH167" s="24">
        <v>6.0</v>
      </c>
      <c r="AI167" s="23">
        <v>9.0</v>
      </c>
    </row>
    <row r="168" ht="15.75" customHeight="1">
      <c r="A168" s="25"/>
      <c r="B168" s="11">
        <v>45980.0</v>
      </c>
      <c r="C168" s="12" t="s">
        <v>77</v>
      </c>
      <c r="D168" s="12" t="s">
        <v>22</v>
      </c>
      <c r="E168" s="17" t="s">
        <v>151</v>
      </c>
      <c r="F168" s="13">
        <v>2.0</v>
      </c>
      <c r="G168" s="31" t="s">
        <v>24</v>
      </c>
      <c r="H168" s="13">
        <v>1.0</v>
      </c>
      <c r="I168" s="17" t="s">
        <v>203</v>
      </c>
      <c r="J168" s="149"/>
      <c r="K168" s="150">
        <f t="shared" si="17"/>
        <v>2</v>
      </c>
      <c r="L168" s="151">
        <f t="shared" si="18"/>
        <v>1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22">
        <v>3.0</v>
      </c>
      <c r="AB168" s="71" t="s">
        <v>121</v>
      </c>
      <c r="AC168" s="23">
        <v>20.0</v>
      </c>
      <c r="AD168" s="23">
        <v>7.0</v>
      </c>
      <c r="AE168" s="24"/>
      <c r="AF168" s="24">
        <v>3.0</v>
      </c>
      <c r="AG168" s="23">
        <v>15.0</v>
      </c>
      <c r="AH168" s="24">
        <v>8.0</v>
      </c>
      <c r="AI168" s="23">
        <v>7.0</v>
      </c>
    </row>
    <row r="169" ht="15.75" customHeight="1">
      <c r="A169" s="25"/>
      <c r="B169" s="11">
        <v>45980.0</v>
      </c>
      <c r="C169" s="12" t="s">
        <v>128</v>
      </c>
      <c r="D169" s="12" t="s">
        <v>22</v>
      </c>
      <c r="E169" s="17" t="s">
        <v>63</v>
      </c>
      <c r="F169" s="13">
        <v>0.0</v>
      </c>
      <c r="G169" s="31" t="s">
        <v>24</v>
      </c>
      <c r="H169" s="13">
        <v>2.0</v>
      </c>
      <c r="I169" s="17" t="s">
        <v>59</v>
      </c>
      <c r="J169" s="149"/>
      <c r="K169" s="150">
        <f t="shared" si="17"/>
        <v>0</v>
      </c>
      <c r="L169" s="151">
        <f t="shared" si="18"/>
        <v>3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22">
        <v>4.0</v>
      </c>
      <c r="AB169" s="71" t="s">
        <v>33</v>
      </c>
      <c r="AC169" s="23">
        <v>20.0</v>
      </c>
      <c r="AD169" s="23">
        <v>7.0</v>
      </c>
      <c r="AE169" s="24"/>
      <c r="AF169" s="24">
        <v>3.0</v>
      </c>
      <c r="AG169" s="23">
        <v>15.0</v>
      </c>
      <c r="AH169" s="24">
        <v>8.0</v>
      </c>
      <c r="AI169" s="23">
        <v>7.0</v>
      </c>
    </row>
    <row r="170" ht="15.75" customHeight="1">
      <c r="A170" s="66">
        <v>5.0</v>
      </c>
      <c r="B170" s="11">
        <v>46001.0</v>
      </c>
      <c r="C170" s="12" t="s">
        <v>49</v>
      </c>
      <c r="D170" s="12" t="s">
        <v>22</v>
      </c>
      <c r="E170" s="17" t="s">
        <v>42</v>
      </c>
      <c r="F170" s="13">
        <v>1.0</v>
      </c>
      <c r="G170" s="31" t="s">
        <v>24</v>
      </c>
      <c r="H170" s="13">
        <v>2.0</v>
      </c>
      <c r="I170" s="17" t="s">
        <v>65</v>
      </c>
      <c r="J170" s="149"/>
      <c r="K170" s="150">
        <f t="shared" si="17"/>
        <v>1</v>
      </c>
      <c r="L170" s="151">
        <f t="shared" si="18"/>
        <v>2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22">
        <v>5.0</v>
      </c>
      <c r="AB170" s="71" t="s">
        <v>151</v>
      </c>
      <c r="AC170" s="23">
        <v>20.0</v>
      </c>
      <c r="AD170" s="23">
        <v>7.0</v>
      </c>
      <c r="AE170" s="24"/>
      <c r="AF170" s="24">
        <v>3.0</v>
      </c>
      <c r="AG170" s="23">
        <v>16.0</v>
      </c>
      <c r="AH170" s="24">
        <v>9.0</v>
      </c>
      <c r="AI170" s="23">
        <v>7.0</v>
      </c>
    </row>
    <row r="171" ht="15.75" customHeight="1">
      <c r="A171" s="25"/>
      <c r="B171" s="11">
        <v>46001.0</v>
      </c>
      <c r="C171" s="12" t="s">
        <v>49</v>
      </c>
      <c r="D171" s="12" t="s">
        <v>22</v>
      </c>
      <c r="E171" s="17" t="s">
        <v>60</v>
      </c>
      <c r="F171" s="160">
        <v>2.0</v>
      </c>
      <c r="G171" s="31" t="s">
        <v>24</v>
      </c>
      <c r="H171" s="13">
        <v>0.0</v>
      </c>
      <c r="I171" s="17" t="s">
        <v>104</v>
      </c>
      <c r="J171" s="149"/>
      <c r="K171" s="150">
        <f t="shared" si="17"/>
        <v>3</v>
      </c>
      <c r="L171" s="151">
        <f t="shared" si="18"/>
        <v>0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22">
        <v>6.0</v>
      </c>
      <c r="AB171" s="71" t="s">
        <v>59</v>
      </c>
      <c r="AC171" s="23">
        <v>16.0</v>
      </c>
      <c r="AD171" s="23">
        <v>5.0</v>
      </c>
      <c r="AE171" s="24"/>
      <c r="AF171" s="24">
        <v>5.0</v>
      </c>
      <c r="AG171" s="23">
        <v>11.0</v>
      </c>
      <c r="AH171" s="24">
        <v>10.0</v>
      </c>
      <c r="AI171" s="23">
        <v>1.0</v>
      </c>
    </row>
    <row r="172" ht="15.75" customHeight="1">
      <c r="A172" s="25"/>
      <c r="B172" s="11">
        <v>46001.0</v>
      </c>
      <c r="C172" s="12" t="s">
        <v>49</v>
      </c>
      <c r="D172" s="12" t="s">
        <v>22</v>
      </c>
      <c r="E172" s="17" t="s">
        <v>121</v>
      </c>
      <c r="F172" s="160">
        <v>2.0</v>
      </c>
      <c r="G172" s="31" t="s">
        <v>24</v>
      </c>
      <c r="H172" s="13">
        <v>0.0</v>
      </c>
      <c r="I172" s="17" t="s">
        <v>33</v>
      </c>
      <c r="J172" s="149"/>
      <c r="K172" s="150">
        <f t="shared" si="17"/>
        <v>3</v>
      </c>
      <c r="L172" s="151">
        <f t="shared" si="18"/>
        <v>0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22">
        <v>7.0</v>
      </c>
      <c r="AB172" s="71" t="s">
        <v>104</v>
      </c>
      <c r="AC172" s="23">
        <v>15.0</v>
      </c>
      <c r="AD172" s="23">
        <v>6.0</v>
      </c>
      <c r="AE172" s="24"/>
      <c r="AF172" s="24">
        <v>4.0</v>
      </c>
      <c r="AG172" s="23">
        <v>13.0</v>
      </c>
      <c r="AH172" s="24">
        <v>12.0</v>
      </c>
      <c r="AI172" s="23">
        <v>1.0</v>
      </c>
    </row>
    <row r="173" ht="15.75" customHeight="1">
      <c r="A173" s="25"/>
      <c r="B173" s="11">
        <v>46001.0</v>
      </c>
      <c r="C173" s="12" t="s">
        <v>21</v>
      </c>
      <c r="D173" s="12" t="s">
        <v>22</v>
      </c>
      <c r="E173" s="17" t="s">
        <v>45</v>
      </c>
      <c r="F173" s="160">
        <v>0.0</v>
      </c>
      <c r="G173" s="31" t="s">
        <v>24</v>
      </c>
      <c r="H173" s="13">
        <v>2.0</v>
      </c>
      <c r="I173" s="17" t="s">
        <v>151</v>
      </c>
      <c r="J173" s="149"/>
      <c r="K173" s="150">
        <f t="shared" si="17"/>
        <v>0</v>
      </c>
      <c r="L173" s="151">
        <f t="shared" si="18"/>
        <v>3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22">
        <v>8.0</v>
      </c>
      <c r="AB173" s="71" t="s">
        <v>203</v>
      </c>
      <c r="AC173" s="23">
        <v>11.0</v>
      </c>
      <c r="AD173" s="23">
        <v>3.0</v>
      </c>
      <c r="AE173" s="24"/>
      <c r="AF173" s="24">
        <v>7.0</v>
      </c>
      <c r="AG173" s="23">
        <v>8.0</v>
      </c>
      <c r="AH173" s="24">
        <v>14.0</v>
      </c>
      <c r="AI173" s="23">
        <v>-6.0</v>
      </c>
    </row>
    <row r="174" ht="15.75" customHeight="1">
      <c r="A174" s="25"/>
      <c r="B174" s="11">
        <v>46001.0</v>
      </c>
      <c r="C174" s="12" t="s">
        <v>21</v>
      </c>
      <c r="D174" s="12" t="s">
        <v>22</v>
      </c>
      <c r="E174" s="17" t="s">
        <v>203</v>
      </c>
      <c r="F174" s="160">
        <v>0.0</v>
      </c>
      <c r="G174" s="31" t="s">
        <v>24</v>
      </c>
      <c r="H174" s="13">
        <v>2.0</v>
      </c>
      <c r="I174" s="17" t="s">
        <v>63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22">
        <v>9.0</v>
      </c>
      <c r="AB174" s="71" t="s">
        <v>42</v>
      </c>
      <c r="AC174" s="23">
        <v>6.0</v>
      </c>
      <c r="AD174" s="23">
        <v>1.0</v>
      </c>
      <c r="AE174" s="24"/>
      <c r="AF174" s="24">
        <v>9.0</v>
      </c>
      <c r="AG174" s="23">
        <v>5.0</v>
      </c>
      <c r="AH174" s="24">
        <v>18.0</v>
      </c>
      <c r="AI174" s="23">
        <v>-13.0</v>
      </c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59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22">
        <v>10.0</v>
      </c>
      <c r="AB175" s="71" t="s">
        <v>65</v>
      </c>
      <c r="AC175" s="23">
        <v>5.0</v>
      </c>
      <c r="AD175" s="23">
        <v>2.0</v>
      </c>
      <c r="AE175" s="24"/>
      <c r="AF175" s="24">
        <v>8.0</v>
      </c>
      <c r="AG175" s="23">
        <v>4.0</v>
      </c>
      <c r="AH175" s="24">
        <v>17.0</v>
      </c>
      <c r="AI175" s="23">
        <v>-13.0</v>
      </c>
    </row>
    <row r="176" ht="15.75" customHeight="1">
      <c r="A176" s="66">
        <v>6.0</v>
      </c>
      <c r="B176" s="163"/>
      <c r="C176" s="164"/>
      <c r="D176" s="165"/>
      <c r="E176" s="17" t="s">
        <v>65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53">
        <v>11.0</v>
      </c>
      <c r="AB176" s="71" t="s">
        <v>63</v>
      </c>
      <c r="AC176" s="23">
        <v>5.0</v>
      </c>
      <c r="AD176" s="23">
        <v>2.0</v>
      </c>
      <c r="AE176" s="24"/>
      <c r="AF176" s="24">
        <v>8.0</v>
      </c>
      <c r="AG176" s="23">
        <v>4.0</v>
      </c>
      <c r="AH176" s="24">
        <v>17.0</v>
      </c>
      <c r="AI176" s="23">
        <v>-13.0</v>
      </c>
    </row>
    <row r="177" ht="15.75" customHeight="1">
      <c r="A177" s="25"/>
      <c r="B177" s="11">
        <v>46071.0</v>
      </c>
      <c r="C177" s="12" t="s">
        <v>49</v>
      </c>
      <c r="D177" s="12" t="s">
        <v>22</v>
      </c>
      <c r="E177" s="17" t="s">
        <v>104</v>
      </c>
      <c r="F177" s="13">
        <v>2.0</v>
      </c>
      <c r="G177" s="31" t="s">
        <v>24</v>
      </c>
      <c r="H177" s="13">
        <v>1.0</v>
      </c>
      <c r="I177" s="17" t="s">
        <v>42</v>
      </c>
      <c r="J177" s="149"/>
      <c r="K177" s="150">
        <f t="shared" si="17"/>
        <v>2</v>
      </c>
      <c r="L177" s="151">
        <f t="shared" si="18"/>
        <v>1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5" t="s">
        <v>205</v>
      </c>
      <c r="AD177" s="37"/>
      <c r="AE177" s="37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49</v>
      </c>
      <c r="D178" s="12" t="s">
        <v>22</v>
      </c>
      <c r="E178" s="17" t="s">
        <v>33</v>
      </c>
      <c r="F178" s="13">
        <v>1.0</v>
      </c>
      <c r="G178" s="31" t="s">
        <v>24</v>
      </c>
      <c r="H178" s="13">
        <v>2.0</v>
      </c>
      <c r="I178" s="17" t="s">
        <v>60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80" t="s">
        <v>96</v>
      </c>
      <c r="AD178" s="37"/>
      <c r="AE178" s="37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49</v>
      </c>
      <c r="D179" s="12" t="s">
        <v>22</v>
      </c>
      <c r="E179" s="17" t="s">
        <v>151</v>
      </c>
      <c r="F179" s="13">
        <v>0.0</v>
      </c>
      <c r="G179" s="31" t="s">
        <v>24</v>
      </c>
      <c r="H179" s="13">
        <v>2.0</v>
      </c>
      <c r="I179" s="17" t="s">
        <v>121</v>
      </c>
      <c r="J179" s="149"/>
      <c r="K179" s="150">
        <f t="shared" si="17"/>
        <v>0</v>
      </c>
      <c r="L179" s="151">
        <f t="shared" si="18"/>
        <v>3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21</v>
      </c>
      <c r="D180" s="12" t="s">
        <v>22</v>
      </c>
      <c r="E180" s="17" t="s">
        <v>63</v>
      </c>
      <c r="F180" s="13">
        <v>0.0</v>
      </c>
      <c r="G180" s="31" t="s">
        <v>24</v>
      </c>
      <c r="H180" s="13">
        <v>2.0</v>
      </c>
      <c r="I180" s="17" t="s">
        <v>45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21</v>
      </c>
      <c r="D181" s="12" t="s">
        <v>22</v>
      </c>
      <c r="E181" s="17" t="s">
        <v>59</v>
      </c>
      <c r="F181" s="13">
        <v>2.0</v>
      </c>
      <c r="G181" s="31" t="s">
        <v>24</v>
      </c>
      <c r="H181" s="13">
        <v>0.0</v>
      </c>
      <c r="I181" s="17" t="s">
        <v>203</v>
      </c>
      <c r="J181" s="149"/>
      <c r="K181" s="150">
        <f t="shared" si="17"/>
        <v>3</v>
      </c>
      <c r="L181" s="151">
        <f t="shared" si="18"/>
        <v>0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</row>
    <row r="182" ht="15.75" customHeight="1">
      <c r="A182" s="66">
        <v>7.0</v>
      </c>
      <c r="B182" s="11">
        <v>46071.0</v>
      </c>
      <c r="C182" s="12" t="s">
        <v>21</v>
      </c>
      <c r="D182" s="12" t="s">
        <v>22</v>
      </c>
      <c r="E182" s="17" t="s">
        <v>65</v>
      </c>
      <c r="F182" s="13">
        <v>0.0</v>
      </c>
      <c r="G182" s="31" t="s">
        <v>24</v>
      </c>
      <c r="H182" s="13">
        <v>2.0</v>
      </c>
      <c r="I182" s="17" t="s">
        <v>104</v>
      </c>
      <c r="J182" s="149"/>
      <c r="K182" s="150">
        <f t="shared" si="17"/>
        <v>0</v>
      </c>
      <c r="L182" s="151">
        <f t="shared" si="18"/>
        <v>3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158"/>
      <c r="AD182" s="37"/>
      <c r="AE182" s="37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128</v>
      </c>
      <c r="D183" s="12" t="s">
        <v>22</v>
      </c>
      <c r="E183" s="17" t="s">
        <v>42</v>
      </c>
      <c r="F183" s="13">
        <v>0.0</v>
      </c>
      <c r="G183" s="31" t="s">
        <v>24</v>
      </c>
      <c r="H183" s="13">
        <v>2.0</v>
      </c>
      <c r="I183" s="17" t="s">
        <v>33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D183" s="37"/>
      <c r="AG183" s="3"/>
      <c r="AH183" s="3"/>
      <c r="AI183" s="3"/>
    </row>
    <row r="184" ht="15.75" customHeight="1">
      <c r="A184" s="25"/>
      <c r="B184" s="11">
        <v>46089.0</v>
      </c>
      <c r="C184" s="12" t="s">
        <v>128</v>
      </c>
      <c r="D184" s="39" t="s">
        <v>22</v>
      </c>
      <c r="E184" s="17" t="s">
        <v>60</v>
      </c>
      <c r="F184" s="13">
        <v>1.0</v>
      </c>
      <c r="G184" s="31" t="s">
        <v>24</v>
      </c>
      <c r="H184" s="13">
        <v>2.0</v>
      </c>
      <c r="I184" s="17" t="s">
        <v>151</v>
      </c>
      <c r="J184" s="149"/>
      <c r="K184" s="150">
        <f t="shared" si="17"/>
        <v>1</v>
      </c>
      <c r="L184" s="151">
        <f t="shared" si="18"/>
        <v>2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G184" s="3"/>
      <c r="AH184" s="3"/>
      <c r="AI184" s="3"/>
    </row>
    <row r="185" ht="15.75" customHeight="1">
      <c r="A185" s="25"/>
      <c r="B185" s="11">
        <v>46089.0</v>
      </c>
      <c r="C185" s="12" t="s">
        <v>128</v>
      </c>
      <c r="D185" s="12" t="s">
        <v>22</v>
      </c>
      <c r="E185" s="17" t="s">
        <v>121</v>
      </c>
      <c r="F185" s="13">
        <v>2.0</v>
      </c>
      <c r="G185" s="31" t="s">
        <v>24</v>
      </c>
      <c r="H185" s="13">
        <v>0.0</v>
      </c>
      <c r="I185" s="17" t="s">
        <v>63</v>
      </c>
      <c r="J185" s="149"/>
      <c r="K185" s="150">
        <f t="shared" si="17"/>
        <v>3</v>
      </c>
      <c r="L185" s="151">
        <f t="shared" si="18"/>
        <v>0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G185" s="3"/>
      <c r="AH185" s="3"/>
      <c r="AI185" s="3"/>
    </row>
    <row r="186" ht="15.75" customHeight="1">
      <c r="A186" s="25"/>
      <c r="B186" s="11">
        <v>46089.0</v>
      </c>
      <c r="C186" s="12" t="s">
        <v>74</v>
      </c>
      <c r="D186" s="12" t="s">
        <v>22</v>
      </c>
      <c r="E186" s="17" t="s">
        <v>45</v>
      </c>
      <c r="F186" s="13">
        <v>2.0</v>
      </c>
      <c r="G186" s="31" t="s">
        <v>24</v>
      </c>
      <c r="H186" s="13">
        <v>0.0</v>
      </c>
      <c r="I186" s="17" t="s">
        <v>59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G186" s="3"/>
      <c r="AH186" s="3"/>
      <c r="AI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203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G187" s="3"/>
      <c r="AH187" s="3"/>
      <c r="AI187" s="3"/>
    </row>
    <row r="188" ht="15.75" customHeight="1">
      <c r="A188" s="66">
        <v>8.0</v>
      </c>
      <c r="B188" s="163"/>
      <c r="C188" s="164"/>
      <c r="D188" s="165"/>
      <c r="E188" s="17" t="s">
        <v>104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G188" s="3"/>
      <c r="AH188" s="3"/>
      <c r="AI188" s="3"/>
    </row>
    <row r="189" ht="15.75" customHeight="1">
      <c r="A189" s="25"/>
      <c r="B189" s="11">
        <v>46089.0</v>
      </c>
      <c r="C189" s="12" t="s">
        <v>74</v>
      </c>
      <c r="D189" s="12" t="s">
        <v>22</v>
      </c>
      <c r="E189" s="17" t="s">
        <v>33</v>
      </c>
      <c r="F189" s="13">
        <v>2.0</v>
      </c>
      <c r="G189" s="31" t="s">
        <v>24</v>
      </c>
      <c r="H189" s="13">
        <v>0.0</v>
      </c>
      <c r="I189" s="17" t="s">
        <v>65</v>
      </c>
      <c r="J189" s="149"/>
      <c r="K189" s="150">
        <f t="shared" si="17"/>
        <v>3</v>
      </c>
      <c r="L189" s="151">
        <f t="shared" si="18"/>
        <v>0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74</v>
      </c>
      <c r="D190" s="12" t="s">
        <v>22</v>
      </c>
      <c r="E190" s="17" t="s">
        <v>151</v>
      </c>
      <c r="F190" s="13">
        <v>2.0</v>
      </c>
      <c r="G190" s="31" t="s">
        <v>24</v>
      </c>
      <c r="H190" s="13">
        <v>0.0</v>
      </c>
      <c r="I190" s="17" t="s">
        <v>42</v>
      </c>
      <c r="J190" s="149"/>
      <c r="K190" s="150">
        <f t="shared" si="17"/>
        <v>3</v>
      </c>
      <c r="L190" s="151">
        <f t="shared" si="18"/>
        <v>0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21</v>
      </c>
      <c r="D191" s="12" t="s">
        <v>22</v>
      </c>
      <c r="E191" s="17" t="s">
        <v>63</v>
      </c>
      <c r="F191" s="13">
        <v>0.0</v>
      </c>
      <c r="G191" s="31" t="s">
        <v>24</v>
      </c>
      <c r="H191" s="13">
        <v>2.0</v>
      </c>
      <c r="I191" s="17" t="s">
        <v>60</v>
      </c>
      <c r="J191" s="149"/>
      <c r="K191" s="150">
        <f t="shared" si="17"/>
        <v>0</v>
      </c>
      <c r="L191" s="151">
        <f t="shared" si="18"/>
        <v>3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21</v>
      </c>
      <c r="D192" s="12" t="s">
        <v>22</v>
      </c>
      <c r="E192" s="17" t="s">
        <v>59</v>
      </c>
      <c r="F192" s="13">
        <v>0.0</v>
      </c>
      <c r="G192" s="31" t="s">
        <v>24</v>
      </c>
      <c r="H192" s="13">
        <v>2.0</v>
      </c>
      <c r="I192" s="17" t="s">
        <v>121</v>
      </c>
      <c r="J192" s="149"/>
      <c r="K192" s="150">
        <f t="shared" si="17"/>
        <v>0</v>
      </c>
      <c r="L192" s="151">
        <f t="shared" si="18"/>
        <v>3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72">
        <v>46148.0</v>
      </c>
      <c r="C193" s="67" t="s">
        <v>101</v>
      </c>
      <c r="D193" s="67" t="s">
        <v>22</v>
      </c>
      <c r="E193" s="17" t="s">
        <v>203</v>
      </c>
      <c r="F193" s="13">
        <v>0.0</v>
      </c>
      <c r="G193" s="31" t="s">
        <v>24</v>
      </c>
      <c r="H193" s="13">
        <v>2.0</v>
      </c>
      <c r="I193" s="17" t="s">
        <v>45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</row>
    <row r="194" ht="15.75" customHeight="1">
      <c r="A194" s="66">
        <v>9.0</v>
      </c>
      <c r="B194" s="11">
        <v>46100.0</v>
      </c>
      <c r="C194" s="12" t="s">
        <v>21</v>
      </c>
      <c r="D194" s="12" t="s">
        <v>22</v>
      </c>
      <c r="E194" s="17" t="s">
        <v>104</v>
      </c>
      <c r="F194" s="13">
        <v>0.0</v>
      </c>
      <c r="G194" s="31" t="s">
        <v>24</v>
      </c>
      <c r="H194" s="13">
        <v>2.0</v>
      </c>
      <c r="I194" s="17" t="s">
        <v>33</v>
      </c>
      <c r="J194" s="149"/>
      <c r="K194" s="150">
        <f t="shared" si="17"/>
        <v>0</v>
      </c>
      <c r="L194" s="151">
        <f t="shared" si="18"/>
        <v>3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21</v>
      </c>
      <c r="D195" s="12" t="s">
        <v>22</v>
      </c>
      <c r="E195" s="17" t="s">
        <v>65</v>
      </c>
      <c r="F195" s="13">
        <v>0.0</v>
      </c>
      <c r="G195" s="31" t="s">
        <v>24</v>
      </c>
      <c r="H195" s="13">
        <v>2.0</v>
      </c>
      <c r="I195" s="17" t="s">
        <v>151</v>
      </c>
      <c r="J195" s="149"/>
      <c r="K195" s="150">
        <f t="shared" si="17"/>
        <v>0</v>
      </c>
      <c r="L195" s="151">
        <f t="shared" si="18"/>
        <v>3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21</v>
      </c>
      <c r="D196" s="12" t="s">
        <v>22</v>
      </c>
      <c r="E196" s="17" t="s">
        <v>42</v>
      </c>
      <c r="F196" s="13">
        <v>2.0</v>
      </c>
      <c r="G196" s="31" t="s">
        <v>24</v>
      </c>
      <c r="H196" s="13">
        <v>0.0</v>
      </c>
      <c r="I196" s="17" t="s">
        <v>63</v>
      </c>
      <c r="J196" s="149"/>
      <c r="K196" s="150">
        <f t="shared" si="17"/>
        <v>3</v>
      </c>
      <c r="L196" s="151">
        <f t="shared" si="18"/>
        <v>0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21</v>
      </c>
      <c r="D197" s="12" t="s">
        <v>22</v>
      </c>
      <c r="E197" s="17" t="s">
        <v>60</v>
      </c>
      <c r="F197" s="13">
        <v>2.0</v>
      </c>
      <c r="G197" s="31" t="s">
        <v>24</v>
      </c>
      <c r="H197" s="13">
        <v>0.0</v>
      </c>
      <c r="I197" s="17" t="s">
        <v>59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30</v>
      </c>
      <c r="D198" s="12" t="s">
        <v>22</v>
      </c>
      <c r="E198" s="17" t="s">
        <v>121</v>
      </c>
      <c r="F198" s="13">
        <v>0.0</v>
      </c>
      <c r="G198" s="31" t="s">
        <v>24</v>
      </c>
      <c r="H198" s="13">
        <v>2.0</v>
      </c>
      <c r="I198" s="17" t="s">
        <v>203</v>
      </c>
      <c r="J198" s="149"/>
      <c r="K198" s="150">
        <f t="shared" si="17"/>
        <v>0</v>
      </c>
      <c r="L198" s="151">
        <f t="shared" si="18"/>
        <v>3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45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33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30</v>
      </c>
      <c r="D201" s="12" t="s">
        <v>22</v>
      </c>
      <c r="E201" s="17" t="s">
        <v>151</v>
      </c>
      <c r="F201" s="13">
        <v>2.0</v>
      </c>
      <c r="G201" s="31" t="s">
        <v>24</v>
      </c>
      <c r="H201" s="13">
        <v>1.0</v>
      </c>
      <c r="I201" s="17" t="s">
        <v>104</v>
      </c>
      <c r="J201" s="149"/>
      <c r="K201" s="150">
        <f t="shared" si="17"/>
        <v>2</v>
      </c>
      <c r="L201" s="151">
        <f t="shared" si="18"/>
        <v>1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30</v>
      </c>
      <c r="D202" s="12" t="s">
        <v>22</v>
      </c>
      <c r="E202" s="17" t="s">
        <v>63</v>
      </c>
      <c r="F202" s="13">
        <v>0.0</v>
      </c>
      <c r="G202" s="31" t="s">
        <v>24</v>
      </c>
      <c r="H202" s="13">
        <v>2.0</v>
      </c>
      <c r="I202" s="17" t="s">
        <v>65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35</v>
      </c>
      <c r="D203" s="12" t="s">
        <v>22</v>
      </c>
      <c r="E203" s="17" t="s">
        <v>59</v>
      </c>
      <c r="F203" s="13">
        <v>2.0</v>
      </c>
      <c r="G203" s="31" t="s">
        <v>24</v>
      </c>
      <c r="H203" s="13">
        <v>0.0</v>
      </c>
      <c r="I203" s="17" t="s">
        <v>42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35</v>
      </c>
      <c r="D204" s="12" t="s">
        <v>22</v>
      </c>
      <c r="E204" s="17" t="s">
        <v>203</v>
      </c>
      <c r="F204" s="13">
        <v>0.0</v>
      </c>
      <c r="G204" s="31" t="s">
        <v>24</v>
      </c>
      <c r="H204" s="13">
        <v>2.0</v>
      </c>
      <c r="I204" s="17" t="s">
        <v>60</v>
      </c>
      <c r="J204" s="149"/>
      <c r="K204" s="150">
        <f t="shared" si="17"/>
        <v>0</v>
      </c>
      <c r="L204" s="151">
        <f t="shared" si="18"/>
        <v>3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35</v>
      </c>
      <c r="D205" s="12" t="s">
        <v>22</v>
      </c>
      <c r="E205" s="17" t="s">
        <v>45</v>
      </c>
      <c r="F205" s="13">
        <v>2.0</v>
      </c>
      <c r="G205" s="31" t="s">
        <v>24</v>
      </c>
      <c r="H205" s="13">
        <v>0.0</v>
      </c>
      <c r="I205" s="17" t="s">
        <v>121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</row>
    <row r="206" ht="15.75" customHeight="1">
      <c r="A206" s="66">
        <v>11.0</v>
      </c>
      <c r="B206" s="11">
        <v>46148.0</v>
      </c>
      <c r="C206" s="67" t="s">
        <v>101</v>
      </c>
      <c r="D206" s="12" t="s">
        <v>22</v>
      </c>
      <c r="E206" s="17" t="s">
        <v>33</v>
      </c>
      <c r="F206" s="13">
        <v>2.0</v>
      </c>
      <c r="G206" s="31" t="s">
        <v>24</v>
      </c>
      <c r="H206" s="13">
        <v>1.0</v>
      </c>
      <c r="I206" s="17" t="s">
        <v>151</v>
      </c>
      <c r="J206" s="149"/>
      <c r="K206" s="150">
        <f t="shared" si="17"/>
        <v>2</v>
      </c>
      <c r="L206" s="151">
        <f t="shared" si="18"/>
        <v>1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7" t="s">
        <v>101</v>
      </c>
      <c r="D207" s="12" t="s">
        <v>22</v>
      </c>
      <c r="E207" s="17" t="s">
        <v>104</v>
      </c>
      <c r="F207" s="13">
        <v>2.0</v>
      </c>
      <c r="G207" s="31" t="s">
        <v>24</v>
      </c>
      <c r="H207" s="13">
        <v>0.0</v>
      </c>
      <c r="I207" s="17" t="s">
        <v>63</v>
      </c>
      <c r="J207" s="149"/>
      <c r="K207" s="150">
        <f t="shared" si="17"/>
        <v>3</v>
      </c>
      <c r="L207" s="151">
        <f t="shared" si="18"/>
        <v>0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7" t="s">
        <v>101</v>
      </c>
      <c r="D208" s="12" t="s">
        <v>22</v>
      </c>
      <c r="E208" s="17" t="s">
        <v>65</v>
      </c>
      <c r="F208" s="13">
        <v>0.0</v>
      </c>
      <c r="G208" s="31" t="s">
        <v>24</v>
      </c>
      <c r="H208" s="13">
        <v>2.0</v>
      </c>
      <c r="I208" s="17" t="s">
        <v>59</v>
      </c>
      <c r="J208" s="149"/>
      <c r="K208" s="150">
        <f t="shared" si="17"/>
        <v>0</v>
      </c>
      <c r="L208" s="151">
        <f t="shared" si="18"/>
        <v>3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7" t="s">
        <v>113</v>
      </c>
      <c r="D209" s="12" t="s">
        <v>22</v>
      </c>
      <c r="E209" s="17" t="s">
        <v>42</v>
      </c>
      <c r="F209" s="13">
        <v>0.0</v>
      </c>
      <c r="G209" s="31" t="s">
        <v>24</v>
      </c>
      <c r="H209" s="13">
        <v>2.0</v>
      </c>
      <c r="I209" s="17" t="s">
        <v>203</v>
      </c>
      <c r="J209" s="149"/>
      <c r="K209" s="150">
        <f t="shared" si="17"/>
        <v>0</v>
      </c>
      <c r="L209" s="151">
        <f t="shared" si="18"/>
        <v>3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7" t="s">
        <v>113</v>
      </c>
      <c r="D210" s="12" t="s">
        <v>22</v>
      </c>
      <c r="E210" s="17" t="s">
        <v>60</v>
      </c>
      <c r="F210" s="13">
        <v>2.0</v>
      </c>
      <c r="G210" s="31" t="s">
        <v>24</v>
      </c>
      <c r="H210" s="13">
        <v>0.0</v>
      </c>
      <c r="I210" s="17" t="s">
        <v>45</v>
      </c>
      <c r="J210" s="149"/>
      <c r="K210" s="150">
        <f t="shared" si="17"/>
        <v>3</v>
      </c>
      <c r="L210" s="151">
        <f t="shared" si="18"/>
        <v>0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63"/>
      <c r="C211" s="165"/>
      <c r="D211" s="165"/>
      <c r="E211" s="17" t="s">
        <v>121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</row>
    <row r="216" ht="15.75" customHeight="1">
      <c r="A216" s="1" t="s">
        <v>206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194</v>
      </c>
      <c r="U217" s="174" t="s">
        <v>195</v>
      </c>
      <c r="V217" s="174" t="s">
        <v>196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194</v>
      </c>
      <c r="AH217" s="120" t="s">
        <v>195</v>
      </c>
      <c r="AI217" s="120" t="s">
        <v>196</v>
      </c>
    </row>
    <row r="218" ht="15.75" customHeight="1">
      <c r="A218" s="103">
        <v>1.0</v>
      </c>
      <c r="B218" s="44">
        <v>46162.0</v>
      </c>
      <c r="C218" s="12" t="s">
        <v>116</v>
      </c>
      <c r="D218" s="12" t="s">
        <v>22</v>
      </c>
      <c r="E218" s="45" t="s">
        <v>31</v>
      </c>
      <c r="F218" s="13">
        <v>0.0</v>
      </c>
      <c r="G218" s="16" t="s">
        <v>24</v>
      </c>
      <c r="H218" s="13">
        <v>2.0</v>
      </c>
      <c r="I218" s="45" t="s">
        <v>68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31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2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4</v>
      </c>
      <c r="V218" s="18">
        <f t="shared" ref="V218:V220" si="32">T218-U218</f>
        <v>-4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Eng. Física</v>
      </c>
      <c r="AC218" s="23">
        <v>5.0</v>
      </c>
      <c r="AD218" s="23">
        <v>2.0</v>
      </c>
      <c r="AE218" s="24"/>
      <c r="AF218" s="24">
        <v>0.0</v>
      </c>
      <c r="AG218" s="23">
        <v>4.0</v>
      </c>
      <c r="AH218" s="24">
        <v>5.0</v>
      </c>
      <c r="AI218" s="23">
        <v>-1.0</v>
      </c>
    </row>
    <row r="219" ht="15.75" customHeight="1">
      <c r="A219" s="103">
        <v>2.0</v>
      </c>
      <c r="B219" s="44">
        <v>46162.0</v>
      </c>
      <c r="C219" s="12" t="s">
        <v>51</v>
      </c>
      <c r="D219" s="12" t="s">
        <v>22</v>
      </c>
      <c r="E219" s="45" t="s">
        <v>68</v>
      </c>
      <c r="F219" s="13">
        <v>1.0</v>
      </c>
      <c r="G219" s="16" t="s">
        <v>24</v>
      </c>
      <c r="H219" s="13">
        <v>2.0</v>
      </c>
      <c r="I219" s="45" t="s">
        <v>45</v>
      </c>
      <c r="J219" s="4"/>
      <c r="K219" s="150">
        <f t="shared" si="25"/>
        <v>1</v>
      </c>
      <c r="L219" s="151">
        <f t="shared" si="26"/>
        <v>2</v>
      </c>
      <c r="M219" s="4"/>
      <c r="N219" s="18">
        <v>2.0</v>
      </c>
      <c r="O219" s="78" t="s">
        <v>68</v>
      </c>
      <c r="P219" s="18">
        <f t="shared" si="27"/>
        <v>4</v>
      </c>
      <c r="Q219" s="18">
        <f t="shared" si="28"/>
        <v>1</v>
      </c>
      <c r="S219" s="20">
        <f t="shared" si="29"/>
        <v>1</v>
      </c>
      <c r="T219" s="18">
        <f t="shared" si="30"/>
        <v>3</v>
      </c>
      <c r="U219" s="20">
        <f t="shared" si="31"/>
        <v>2</v>
      </c>
      <c r="V219" s="18">
        <f t="shared" si="32"/>
        <v>1</v>
      </c>
      <c r="W219" s="64"/>
      <c r="X219" s="64"/>
      <c r="Y219" s="64"/>
      <c r="Z219" s="64"/>
      <c r="AA219" s="104">
        <v>2.0</v>
      </c>
      <c r="AB219" s="71" t="s">
        <v>68</v>
      </c>
      <c r="AC219" s="23">
        <v>4.0</v>
      </c>
      <c r="AD219" s="23">
        <v>1.0</v>
      </c>
      <c r="AE219" s="24"/>
      <c r="AF219" s="24">
        <v>1.0</v>
      </c>
      <c r="AG219" s="23">
        <v>3.0</v>
      </c>
      <c r="AH219" s="24">
        <v>2.0</v>
      </c>
      <c r="AI219" s="23">
        <v>1.0</v>
      </c>
    </row>
    <row r="220" ht="15.75" customHeight="1">
      <c r="A220" s="103">
        <v>3.0</v>
      </c>
      <c r="B220" s="44">
        <v>46170.0</v>
      </c>
      <c r="C220" s="12" t="s">
        <v>128</v>
      </c>
      <c r="D220" s="12" t="s">
        <v>22</v>
      </c>
      <c r="E220" s="45" t="s">
        <v>45</v>
      </c>
      <c r="F220" s="13">
        <v>2.0</v>
      </c>
      <c r="G220" s="16" t="s">
        <v>24</v>
      </c>
      <c r="H220" s="13">
        <v>0.0</v>
      </c>
      <c r="I220" s="45" t="s">
        <v>31</v>
      </c>
      <c r="J220" s="4"/>
      <c r="K220" s="150">
        <f t="shared" si="25"/>
        <v>3</v>
      </c>
      <c r="L220" s="151">
        <f t="shared" si="26"/>
        <v>0</v>
      </c>
      <c r="M220" s="4"/>
      <c r="N220" s="18">
        <v>3.0</v>
      </c>
      <c r="O220" s="78" t="s">
        <v>45</v>
      </c>
      <c r="P220" s="18">
        <f t="shared" si="27"/>
        <v>5</v>
      </c>
      <c r="Q220" s="18">
        <f t="shared" si="28"/>
        <v>2</v>
      </c>
      <c r="S220" s="20">
        <f t="shared" si="29"/>
        <v>0</v>
      </c>
      <c r="T220" s="18">
        <f t="shared" si="30"/>
        <v>4</v>
      </c>
      <c r="U220" s="20">
        <f t="shared" si="31"/>
        <v>5</v>
      </c>
      <c r="V220" s="18">
        <f t="shared" si="32"/>
        <v>-1</v>
      </c>
      <c r="W220" s="64"/>
      <c r="X220" s="64"/>
      <c r="Y220" s="64"/>
      <c r="Z220" s="64"/>
      <c r="AA220" s="22">
        <v>3.0</v>
      </c>
      <c r="AB220" s="71" t="s">
        <v>31</v>
      </c>
      <c r="AC220" s="23">
        <v>0.0</v>
      </c>
      <c r="AD220" s="23">
        <v>0.0</v>
      </c>
      <c r="AE220" s="24"/>
      <c r="AF220" s="24">
        <v>2.0</v>
      </c>
      <c r="AG220" s="23">
        <v>0.0</v>
      </c>
      <c r="AH220" s="24">
        <v>4.0</v>
      </c>
      <c r="AI220" s="23">
        <v>-4.0</v>
      </c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</row>
    <row r="225" ht="15.75" customHeight="1">
      <c r="A225" s="1" t="s">
        <v>207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</row>
    <row r="227" ht="15.75" customHeight="1">
      <c r="A227" s="58" t="s">
        <v>72</v>
      </c>
      <c r="B227" s="44">
        <v>46155.0</v>
      </c>
      <c r="C227" s="12" t="s">
        <v>51</v>
      </c>
      <c r="D227" s="12" t="s">
        <v>22</v>
      </c>
      <c r="E227" s="45" t="s">
        <v>25</v>
      </c>
      <c r="F227" s="13">
        <v>2.0</v>
      </c>
      <c r="G227" s="16" t="s">
        <v>24</v>
      </c>
      <c r="H227" s="13">
        <v>0.0</v>
      </c>
      <c r="I227" s="45" t="s">
        <v>60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</row>
    <row r="228" ht="15.75" customHeight="1">
      <c r="A228" s="25"/>
      <c r="B228" s="44">
        <v>46155.0</v>
      </c>
      <c r="C228" s="12" t="s">
        <v>51</v>
      </c>
      <c r="D228" s="12" t="s">
        <v>22</v>
      </c>
      <c r="E228" s="45" t="s">
        <v>23</v>
      </c>
      <c r="F228" s="13">
        <v>2.0</v>
      </c>
      <c r="G228" s="16" t="s">
        <v>24</v>
      </c>
      <c r="H228" s="13">
        <v>1.0</v>
      </c>
      <c r="I228" s="45" t="s">
        <v>164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</row>
    <row r="229" ht="15.75" customHeight="1">
      <c r="A229" s="25"/>
      <c r="B229" s="44">
        <v>46155.0</v>
      </c>
      <c r="C229" s="12" t="s">
        <v>51</v>
      </c>
      <c r="D229" s="12" t="s">
        <v>22</v>
      </c>
      <c r="E229" s="45" t="s">
        <v>36</v>
      </c>
      <c r="F229" s="13">
        <v>2.0</v>
      </c>
      <c r="G229" s="16" t="s">
        <v>24</v>
      </c>
      <c r="H229" s="13">
        <v>1.0</v>
      </c>
      <c r="I229" s="45" t="s">
        <v>43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</row>
    <row r="230" ht="15.75" customHeight="1">
      <c r="A230" s="29"/>
      <c r="B230" s="44">
        <v>46155.0</v>
      </c>
      <c r="C230" s="12" t="s">
        <v>74</v>
      </c>
      <c r="D230" s="12" t="s">
        <v>22</v>
      </c>
      <c r="E230" s="45" t="s">
        <v>61</v>
      </c>
      <c r="F230" s="13">
        <v>2.0</v>
      </c>
      <c r="G230" s="16" t="s">
        <v>24</v>
      </c>
      <c r="H230" s="13">
        <v>1.0</v>
      </c>
      <c r="I230" s="45" t="s">
        <v>139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</row>
    <row r="231" ht="15.75" customHeight="1">
      <c r="A231" s="59" t="s">
        <v>73</v>
      </c>
      <c r="B231" s="44">
        <v>46162.0</v>
      </c>
      <c r="C231" s="12" t="s">
        <v>74</v>
      </c>
      <c r="D231" s="12" t="s">
        <v>22</v>
      </c>
      <c r="E231" s="45" t="s">
        <v>25</v>
      </c>
      <c r="F231" s="13">
        <v>2.0</v>
      </c>
      <c r="G231" s="16" t="s">
        <v>24</v>
      </c>
      <c r="H231" s="13">
        <v>0.0</v>
      </c>
      <c r="I231" s="45" t="s">
        <v>61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</row>
    <row r="232" ht="15.75" customHeight="1">
      <c r="A232" s="25"/>
      <c r="B232" s="44">
        <v>46162.0</v>
      </c>
      <c r="C232" s="12" t="s">
        <v>53</v>
      </c>
      <c r="D232" s="12" t="s">
        <v>22</v>
      </c>
      <c r="E232" s="45" t="s">
        <v>23</v>
      </c>
      <c r="F232" s="13">
        <v>0.0</v>
      </c>
      <c r="G232" s="16" t="s">
        <v>24</v>
      </c>
      <c r="H232" s="13">
        <v>2.0</v>
      </c>
      <c r="I232" s="45" t="s">
        <v>36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</row>
    <row r="233" ht="15.75" customHeight="1">
      <c r="A233" s="61" t="s">
        <v>76</v>
      </c>
      <c r="B233" s="11">
        <v>46170.0</v>
      </c>
      <c r="C233" s="12" t="s">
        <v>52</v>
      </c>
      <c r="D233" s="12" t="s">
        <v>22</v>
      </c>
      <c r="E233" s="45" t="s">
        <v>61</v>
      </c>
      <c r="F233" s="13">
        <v>0.0</v>
      </c>
      <c r="G233" s="16" t="s">
        <v>24</v>
      </c>
      <c r="H233" s="13">
        <v>2.0</v>
      </c>
      <c r="I233" s="62" t="s">
        <v>23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</row>
    <row r="234" ht="15.75" customHeight="1">
      <c r="A234" s="61" t="s">
        <v>79</v>
      </c>
      <c r="B234" s="11">
        <v>46174.0</v>
      </c>
      <c r="C234" s="12" t="s">
        <v>128</v>
      </c>
      <c r="D234" s="12" t="s">
        <v>22</v>
      </c>
      <c r="E234" s="45" t="s">
        <v>25</v>
      </c>
      <c r="F234" s="13">
        <v>2.0</v>
      </c>
      <c r="G234" s="16" t="s">
        <v>24</v>
      </c>
      <c r="H234" s="13">
        <v>0.0</v>
      </c>
      <c r="I234" s="45" t="s">
        <v>36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158:A163"/>
    <mergeCell ref="A164:A169"/>
    <mergeCell ref="A170:A175"/>
    <mergeCell ref="A176:A181"/>
    <mergeCell ref="A182:A187"/>
    <mergeCell ref="A146:A151"/>
    <mergeCell ref="A152:A157"/>
    <mergeCell ref="AA157:AC157"/>
    <mergeCell ref="AA158:AC158"/>
    <mergeCell ref="AA163:AI164"/>
    <mergeCell ref="AA177:AC177"/>
    <mergeCell ref="AA178:AC178"/>
    <mergeCell ref="A206:A211"/>
    <mergeCell ref="A227:A230"/>
    <mergeCell ref="A231:A232"/>
    <mergeCell ref="A188:A193"/>
    <mergeCell ref="A194:A199"/>
    <mergeCell ref="A200:A205"/>
    <mergeCell ref="A216:G216"/>
    <mergeCell ref="F217:H217"/>
    <mergeCell ref="A225:G225"/>
    <mergeCell ref="F226:H226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A182:AC189"/>
    <mergeCell ref="AD183:AF188"/>
    <mergeCell ref="AA221:AC228"/>
    <mergeCell ref="AD221:AE228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6.0" outlineLevel="1"/>
    <col hidden="1" min="11" max="14" width="12.63"/>
    <col customWidth="1" hidden="1" min="15" max="15" width="16.38"/>
    <col hidden="1" min="16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71" t="s">
        <v>208</v>
      </c>
      <c r="I1" s="148"/>
      <c r="AA1" s="3"/>
      <c r="AB1" s="148"/>
      <c r="AC1" s="3"/>
      <c r="AD1" s="3"/>
      <c r="AE1" s="3"/>
      <c r="AF1" s="3"/>
      <c r="AG1" s="3"/>
      <c r="AH1" s="3"/>
      <c r="AI1" s="3"/>
      <c r="AJ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194</v>
      </c>
      <c r="U2" s="9" t="s">
        <v>195</v>
      </c>
      <c r="V2" s="9" t="s">
        <v>196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194</v>
      </c>
      <c r="AH2" s="5" t="s">
        <v>195</v>
      </c>
      <c r="AI2" s="5" t="s">
        <v>196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7" t="s">
        <v>33</v>
      </c>
      <c r="F3" s="13">
        <v>2.0</v>
      </c>
      <c r="G3" s="31" t="s">
        <v>24</v>
      </c>
      <c r="H3" s="13">
        <v>0.0</v>
      </c>
      <c r="I3" s="17" t="s">
        <v>88</v>
      </c>
      <c r="J3" s="149"/>
      <c r="K3" s="150">
        <f t="shared" ref="K3:K68" si="1">IFS(F3=H3+2,3,F3=H3-2,0,F3=H3+1,2,F3=H3-1,1,F3="","")</f>
        <v>3</v>
      </c>
      <c r="L3" s="151">
        <f t="shared" ref="L3:L68" si="2">IFS(H3=F3+2,3,H3=F3-2,0,H3=F3+1,2,H3=F3-1,1,H3="","")</f>
        <v>0</v>
      </c>
      <c r="M3" s="149"/>
      <c r="N3" s="151">
        <v>1.0</v>
      </c>
      <c r="O3" s="152" t="s">
        <v>33</v>
      </c>
      <c r="P3" s="151">
        <f t="shared" ref="P3:P14" si="3">SUMIF(E$3:E$68,O3,K$3:K$68)+SUMIF(I$3:I$68,O3,L$3:L$68)</f>
        <v>25</v>
      </c>
      <c r="Q3" s="153">
        <f t="shared" ref="Q3:Q14" si="4">COUNTIFS(E$3:E$68,O3,K$3:K$68,2)+COUNTIFS(I$3:I$68,O3,L$3:L$68,2)+COUNTIFS(E$3:E$68,O3,K$3:K$68,3)+COUNTIFS(I$3:I$68,O3,L$3:L$68,3)</f>
        <v>9</v>
      </c>
      <c r="R3" s="153"/>
      <c r="S3" s="154">
        <f t="shared" ref="S3:S14" si="5">COUNTIFS(E$3:E$68,O3,K$3:K$68,1)+COUNTIFS(I$3:I$68,O3,L$3:L$68,1)+COUNTIFS(E$3:E$68,O3,K$3:K$68,0)+COUNTIFS(I$3:I$68,O3,L$3:L$68,0)</f>
        <v>2</v>
      </c>
      <c r="T3" s="151">
        <f t="shared" ref="T3:T14" si="6">SUMIF(E$3:E$68,O3,F$3:F$68)+SUMIF(I$3:I$68,O3,H$3:H$68)</f>
        <v>19</v>
      </c>
      <c r="U3" s="154">
        <f t="shared" ref="U3:U14" si="7">SUMIF(E$3:E$68,O3,H$3:H$68)+SUMIF(I$3:I$68,O3,F$3:F$68)</f>
        <v>7</v>
      </c>
      <c r="V3" s="151">
        <f t="shared" ref="V3:V14" si="8">T3-U3</f>
        <v>12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30</v>
      </c>
      <c r="D4" s="12" t="s">
        <v>22</v>
      </c>
      <c r="E4" s="17" t="s">
        <v>67</v>
      </c>
      <c r="F4" s="13">
        <v>0.0</v>
      </c>
      <c r="G4" s="31" t="s">
        <v>24</v>
      </c>
      <c r="H4" s="13">
        <v>2.0</v>
      </c>
      <c r="I4" s="17" t="s">
        <v>36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105</v>
      </c>
      <c r="P4" s="151">
        <f t="shared" si="3"/>
        <v>2</v>
      </c>
      <c r="Q4" s="153">
        <f t="shared" si="4"/>
        <v>0</v>
      </c>
      <c r="R4" s="153"/>
      <c r="S4" s="154">
        <f t="shared" si="5"/>
        <v>11</v>
      </c>
      <c r="T4" s="151">
        <f t="shared" si="6"/>
        <v>2</v>
      </c>
      <c r="U4" s="154">
        <f t="shared" si="7"/>
        <v>22</v>
      </c>
      <c r="V4" s="151">
        <f t="shared" si="8"/>
        <v>-20</v>
      </c>
      <c r="X4" s="137" t="s">
        <v>66</v>
      </c>
      <c r="Y4" s="137">
        <v>2.0</v>
      </c>
      <c r="AA4" s="22" t="s">
        <v>34</v>
      </c>
      <c r="AB4" s="71" t="s">
        <v>43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30</v>
      </c>
      <c r="D5" s="12" t="s">
        <v>22</v>
      </c>
      <c r="E5" s="17" t="s">
        <v>43</v>
      </c>
      <c r="F5" s="13">
        <v>2.0</v>
      </c>
      <c r="G5" s="31" t="s">
        <v>24</v>
      </c>
      <c r="H5" s="13">
        <v>0.0</v>
      </c>
      <c r="I5" s="17" t="s">
        <v>66</v>
      </c>
      <c r="J5" s="149"/>
      <c r="K5" s="150">
        <f t="shared" si="1"/>
        <v>3</v>
      </c>
      <c r="L5" s="151">
        <f t="shared" si="2"/>
        <v>0</v>
      </c>
      <c r="M5" s="149"/>
      <c r="N5" s="151">
        <v>3.0</v>
      </c>
      <c r="O5" s="152" t="s">
        <v>88</v>
      </c>
      <c r="P5" s="151">
        <f t="shared" si="3"/>
        <v>18</v>
      </c>
      <c r="Q5" s="153">
        <f t="shared" si="4"/>
        <v>6</v>
      </c>
      <c r="R5" s="153"/>
      <c r="S5" s="154">
        <f t="shared" si="5"/>
        <v>5</v>
      </c>
      <c r="T5" s="151">
        <f t="shared" si="6"/>
        <v>13</v>
      </c>
      <c r="U5" s="154">
        <f t="shared" si="7"/>
        <v>11</v>
      </c>
      <c r="V5" s="151">
        <f t="shared" si="8"/>
        <v>2</v>
      </c>
      <c r="X5" s="137" t="s">
        <v>31</v>
      </c>
      <c r="Y5" s="137">
        <v>1.0</v>
      </c>
      <c r="AA5" s="22" t="s">
        <v>38</v>
      </c>
      <c r="AB5" s="71" t="s">
        <v>33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35</v>
      </c>
      <c r="D6" s="12" t="s">
        <v>22</v>
      </c>
      <c r="E6" s="17" t="s">
        <v>25</v>
      </c>
      <c r="F6" s="13">
        <v>2.0</v>
      </c>
      <c r="G6" s="31" t="s">
        <v>24</v>
      </c>
      <c r="H6" s="13">
        <v>0.0</v>
      </c>
      <c r="I6" s="17" t="s">
        <v>39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108</v>
      </c>
      <c r="P6" s="151">
        <f t="shared" si="3"/>
        <v>10</v>
      </c>
      <c r="Q6" s="153">
        <f t="shared" si="4"/>
        <v>3</v>
      </c>
      <c r="R6" s="153"/>
      <c r="S6" s="154">
        <f t="shared" si="5"/>
        <v>8</v>
      </c>
      <c r="T6" s="151">
        <f t="shared" si="6"/>
        <v>7</v>
      </c>
      <c r="U6" s="154">
        <f t="shared" si="7"/>
        <v>16</v>
      </c>
      <c r="V6" s="151">
        <f t="shared" si="8"/>
        <v>-9</v>
      </c>
      <c r="AA6" s="22" t="s">
        <v>41</v>
      </c>
      <c r="AB6" s="71" t="s">
        <v>25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35</v>
      </c>
      <c r="D7" s="12" t="s">
        <v>22</v>
      </c>
      <c r="E7" s="17" t="s">
        <v>108</v>
      </c>
      <c r="F7" s="13">
        <v>2.0</v>
      </c>
      <c r="G7" s="31" t="s">
        <v>24</v>
      </c>
      <c r="H7" s="13">
        <v>0.0</v>
      </c>
      <c r="I7" s="17" t="s">
        <v>104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36</v>
      </c>
      <c r="P7" s="151">
        <f t="shared" si="3"/>
        <v>30</v>
      </c>
      <c r="Q7" s="153">
        <f t="shared" si="4"/>
        <v>10</v>
      </c>
      <c r="R7" s="153"/>
      <c r="S7" s="154">
        <f t="shared" si="5"/>
        <v>1</v>
      </c>
      <c r="T7" s="151">
        <f t="shared" si="6"/>
        <v>21</v>
      </c>
      <c r="U7" s="154">
        <f t="shared" si="7"/>
        <v>3</v>
      </c>
      <c r="V7" s="151">
        <f t="shared" si="8"/>
        <v>18</v>
      </c>
      <c r="AA7" s="22" t="s">
        <v>44</v>
      </c>
      <c r="AB7" s="71" t="s">
        <v>107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35</v>
      </c>
      <c r="D8" s="12" t="s">
        <v>22</v>
      </c>
      <c r="E8" s="17" t="s">
        <v>107</v>
      </c>
      <c r="F8" s="13">
        <v>2.0</v>
      </c>
      <c r="G8" s="31" t="s">
        <v>24</v>
      </c>
      <c r="H8" s="13">
        <v>1.0</v>
      </c>
      <c r="I8" s="17" t="s">
        <v>105</v>
      </c>
      <c r="J8" s="149"/>
      <c r="K8" s="150">
        <f t="shared" si="1"/>
        <v>2</v>
      </c>
      <c r="L8" s="151">
        <f t="shared" si="2"/>
        <v>1</v>
      </c>
      <c r="M8" s="149"/>
      <c r="N8" s="151">
        <v>6.0</v>
      </c>
      <c r="O8" s="152" t="s">
        <v>25</v>
      </c>
      <c r="P8" s="151">
        <f t="shared" si="3"/>
        <v>21</v>
      </c>
      <c r="Q8" s="153">
        <f t="shared" si="4"/>
        <v>8</v>
      </c>
      <c r="R8" s="153"/>
      <c r="S8" s="154">
        <f t="shared" si="5"/>
        <v>3</v>
      </c>
      <c r="T8" s="151">
        <f t="shared" si="6"/>
        <v>17</v>
      </c>
      <c r="U8" s="154">
        <f t="shared" si="7"/>
        <v>10</v>
      </c>
      <c r="V8" s="151">
        <f t="shared" si="8"/>
        <v>7</v>
      </c>
      <c r="AA8" s="22" t="s">
        <v>47</v>
      </c>
      <c r="AB8" s="71" t="s">
        <v>88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54</v>
      </c>
      <c r="D9" s="12" t="s">
        <v>22</v>
      </c>
      <c r="E9" s="17" t="s">
        <v>88</v>
      </c>
      <c r="F9" s="13">
        <v>1.0</v>
      </c>
      <c r="G9" s="31" t="s">
        <v>24</v>
      </c>
      <c r="H9" s="13">
        <v>2.0</v>
      </c>
      <c r="I9" s="17" t="s">
        <v>107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66</v>
      </c>
      <c r="P9" s="151">
        <f t="shared" si="3"/>
        <v>16</v>
      </c>
      <c r="Q9" s="153">
        <f t="shared" si="4"/>
        <v>5</v>
      </c>
      <c r="R9" s="153"/>
      <c r="S9" s="154">
        <f t="shared" si="5"/>
        <v>6</v>
      </c>
      <c r="T9" s="151">
        <f t="shared" si="6"/>
        <v>12</v>
      </c>
      <c r="U9" s="154">
        <f t="shared" si="7"/>
        <v>13</v>
      </c>
      <c r="V9" s="151">
        <f t="shared" si="8"/>
        <v>-1</v>
      </c>
      <c r="AA9" s="22">
        <v>7.0</v>
      </c>
      <c r="AB9" s="71" t="s">
        <v>66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51</v>
      </c>
      <c r="D10" s="12" t="s">
        <v>22</v>
      </c>
      <c r="E10" s="17" t="s">
        <v>36</v>
      </c>
      <c r="F10" s="13">
        <v>2.0</v>
      </c>
      <c r="G10" s="31" t="s">
        <v>24</v>
      </c>
      <c r="H10" s="13">
        <v>0.0</v>
      </c>
      <c r="I10" s="17" t="s">
        <v>33</v>
      </c>
      <c r="J10" s="149"/>
      <c r="K10" s="150">
        <f t="shared" si="1"/>
        <v>3</v>
      </c>
      <c r="L10" s="151">
        <f t="shared" si="2"/>
        <v>0</v>
      </c>
      <c r="M10" s="149"/>
      <c r="N10" s="151">
        <v>8.0</v>
      </c>
      <c r="O10" s="152" t="s">
        <v>43</v>
      </c>
      <c r="P10" s="151">
        <f t="shared" si="3"/>
        <v>28</v>
      </c>
      <c r="Q10" s="153">
        <f t="shared" si="4"/>
        <v>9</v>
      </c>
      <c r="R10" s="153"/>
      <c r="S10" s="154">
        <f t="shared" si="5"/>
        <v>2</v>
      </c>
      <c r="T10" s="151">
        <f t="shared" si="6"/>
        <v>20</v>
      </c>
      <c r="U10" s="154">
        <f t="shared" si="7"/>
        <v>5</v>
      </c>
      <c r="V10" s="151">
        <f t="shared" si="8"/>
        <v>15</v>
      </c>
      <c r="AA10" s="22">
        <v>8.0</v>
      </c>
      <c r="AB10" s="71" t="s">
        <v>67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55</v>
      </c>
      <c r="D11" s="12" t="s">
        <v>22</v>
      </c>
      <c r="E11" s="17" t="s">
        <v>66</v>
      </c>
      <c r="F11" s="13">
        <v>2.0</v>
      </c>
      <c r="G11" s="31" t="s">
        <v>24</v>
      </c>
      <c r="H11" s="13">
        <v>0.0</v>
      </c>
      <c r="I11" s="17" t="s">
        <v>67</v>
      </c>
      <c r="J11" s="149"/>
      <c r="K11" s="150">
        <f t="shared" si="1"/>
        <v>3</v>
      </c>
      <c r="L11" s="151">
        <f t="shared" si="2"/>
        <v>0</v>
      </c>
      <c r="M11" s="149"/>
      <c r="N11" s="151">
        <v>9.0</v>
      </c>
      <c r="O11" s="152" t="s">
        <v>39</v>
      </c>
      <c r="P11" s="151">
        <f t="shared" si="3"/>
        <v>11</v>
      </c>
      <c r="Q11" s="153">
        <f t="shared" si="4"/>
        <v>3</v>
      </c>
      <c r="R11" s="153"/>
      <c r="S11" s="154">
        <f t="shared" si="5"/>
        <v>8</v>
      </c>
      <c r="T11" s="151">
        <f t="shared" si="6"/>
        <v>9</v>
      </c>
      <c r="U11" s="154">
        <f t="shared" si="7"/>
        <v>17</v>
      </c>
      <c r="V11" s="151">
        <f t="shared" si="8"/>
        <v>-8</v>
      </c>
      <c r="AA11" s="124" t="s">
        <v>91</v>
      </c>
      <c r="AB11" s="71" t="s">
        <v>39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55</v>
      </c>
      <c r="D12" s="12" t="s">
        <v>22</v>
      </c>
      <c r="E12" s="17" t="s">
        <v>39</v>
      </c>
      <c r="F12" s="13">
        <v>0.0</v>
      </c>
      <c r="G12" s="31" t="s">
        <v>24</v>
      </c>
      <c r="H12" s="13">
        <v>2.0</v>
      </c>
      <c r="I12" s="17" t="s">
        <v>43</v>
      </c>
      <c r="J12" s="149"/>
      <c r="K12" s="150">
        <f t="shared" si="1"/>
        <v>0</v>
      </c>
      <c r="L12" s="151">
        <f t="shared" si="2"/>
        <v>3</v>
      </c>
      <c r="M12" s="149"/>
      <c r="N12" s="151">
        <v>10.0</v>
      </c>
      <c r="O12" s="155" t="s">
        <v>67</v>
      </c>
      <c r="P12" s="151">
        <f t="shared" si="3"/>
        <v>13</v>
      </c>
      <c r="Q12" s="153">
        <f t="shared" si="4"/>
        <v>4</v>
      </c>
      <c r="R12" s="153"/>
      <c r="S12" s="154">
        <f t="shared" si="5"/>
        <v>7</v>
      </c>
      <c r="T12" s="151">
        <f t="shared" si="6"/>
        <v>10</v>
      </c>
      <c r="U12" s="154">
        <f t="shared" si="7"/>
        <v>15</v>
      </c>
      <c r="V12" s="151">
        <f t="shared" si="8"/>
        <v>-5</v>
      </c>
      <c r="AA12" s="77">
        <v>10.0</v>
      </c>
      <c r="AB12" s="71" t="s">
        <v>108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55</v>
      </c>
      <c r="D13" s="12" t="s">
        <v>22</v>
      </c>
      <c r="E13" s="17" t="s">
        <v>104</v>
      </c>
      <c r="F13" s="13">
        <v>0.0</v>
      </c>
      <c r="G13" s="31" t="s">
        <v>24</v>
      </c>
      <c r="H13" s="13">
        <v>2.0</v>
      </c>
      <c r="I13" s="17" t="s">
        <v>25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104</v>
      </c>
      <c r="P13" s="151">
        <f t="shared" si="3"/>
        <v>3</v>
      </c>
      <c r="Q13" s="153">
        <f t="shared" si="4"/>
        <v>1</v>
      </c>
      <c r="R13" s="153"/>
      <c r="S13" s="154">
        <f t="shared" si="5"/>
        <v>10</v>
      </c>
      <c r="T13" s="151">
        <f t="shared" si="6"/>
        <v>3</v>
      </c>
      <c r="U13" s="154">
        <f t="shared" si="7"/>
        <v>21</v>
      </c>
      <c r="V13" s="151">
        <f t="shared" si="8"/>
        <v>-18</v>
      </c>
      <c r="AA13" s="77">
        <v>11.0</v>
      </c>
      <c r="AB13" s="71" t="s">
        <v>104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52</v>
      </c>
      <c r="D14" s="12" t="s">
        <v>22</v>
      </c>
      <c r="E14" s="17" t="s">
        <v>105</v>
      </c>
      <c r="F14" s="13">
        <v>0.0</v>
      </c>
      <c r="G14" s="31" t="s">
        <v>24</v>
      </c>
      <c r="H14" s="13">
        <v>2.0</v>
      </c>
      <c r="I14" s="17" t="s">
        <v>108</v>
      </c>
      <c r="J14" s="149"/>
      <c r="K14" s="150">
        <f t="shared" si="1"/>
        <v>0</v>
      </c>
      <c r="L14" s="151">
        <f t="shared" si="2"/>
        <v>3</v>
      </c>
      <c r="M14" s="149"/>
      <c r="N14" s="157">
        <v>12.0</v>
      </c>
      <c r="O14" s="156" t="s">
        <v>107</v>
      </c>
      <c r="P14" s="151">
        <f t="shared" si="3"/>
        <v>21</v>
      </c>
      <c r="Q14" s="153">
        <f t="shared" si="4"/>
        <v>8</v>
      </c>
      <c r="S14" s="154">
        <f t="shared" si="5"/>
        <v>3</v>
      </c>
      <c r="T14" s="151">
        <f t="shared" si="6"/>
        <v>18</v>
      </c>
      <c r="U14" s="154">
        <f t="shared" si="7"/>
        <v>11</v>
      </c>
      <c r="V14" s="151">
        <f t="shared" si="8"/>
        <v>7</v>
      </c>
      <c r="AA14" s="77">
        <v>12.0</v>
      </c>
      <c r="AB14" s="28" t="s">
        <v>105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52</v>
      </c>
      <c r="D15" s="12" t="s">
        <v>22</v>
      </c>
      <c r="E15" s="17" t="s">
        <v>88</v>
      </c>
      <c r="F15" s="13">
        <v>0.0</v>
      </c>
      <c r="G15" s="31" t="s">
        <v>24</v>
      </c>
      <c r="H15" s="13">
        <v>2.0</v>
      </c>
      <c r="I15" s="17" t="s">
        <v>36</v>
      </c>
      <c r="J15" s="149"/>
      <c r="K15" s="150">
        <f t="shared" si="1"/>
        <v>0</v>
      </c>
      <c r="L15" s="151">
        <f t="shared" si="2"/>
        <v>3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209</v>
      </c>
      <c r="AD15" s="37"/>
      <c r="AE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52</v>
      </c>
      <c r="D16" s="12" t="s">
        <v>22</v>
      </c>
      <c r="E16" s="17" t="s">
        <v>33</v>
      </c>
      <c r="F16" s="13">
        <v>2.0</v>
      </c>
      <c r="G16" s="31" t="s">
        <v>24</v>
      </c>
      <c r="H16" s="13">
        <v>0.0</v>
      </c>
      <c r="I16" s="17" t="s">
        <v>66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96</v>
      </c>
      <c r="AD16" s="37"/>
      <c r="AE16" s="37"/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53</v>
      </c>
      <c r="D17" s="12" t="s">
        <v>22</v>
      </c>
      <c r="E17" s="17" t="s">
        <v>67</v>
      </c>
      <c r="F17" s="13">
        <v>2.0</v>
      </c>
      <c r="G17" s="31" t="s">
        <v>24</v>
      </c>
      <c r="H17" s="13">
        <v>0.0</v>
      </c>
      <c r="I17" s="17" t="s">
        <v>39</v>
      </c>
      <c r="J17" s="149"/>
      <c r="K17" s="150">
        <f t="shared" si="1"/>
        <v>3</v>
      </c>
      <c r="L17" s="151">
        <f t="shared" si="2"/>
        <v>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B17" s="158"/>
      <c r="AC17" s="158"/>
      <c r="AD17" s="37"/>
      <c r="AE17" s="37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53</v>
      </c>
      <c r="D18" s="12" t="s">
        <v>22</v>
      </c>
      <c r="E18" s="17" t="s">
        <v>43</v>
      </c>
      <c r="F18" s="13">
        <v>2.0</v>
      </c>
      <c r="G18" s="31" t="s">
        <v>24</v>
      </c>
      <c r="H18" s="13">
        <v>0.0</v>
      </c>
      <c r="I18" s="17" t="s">
        <v>104</v>
      </c>
      <c r="J18" s="159"/>
      <c r="K18" s="150">
        <f t="shared" si="1"/>
        <v>3</v>
      </c>
      <c r="L18" s="151">
        <f t="shared" si="2"/>
        <v>0</v>
      </c>
      <c r="M18" s="149"/>
      <c r="N18" s="149"/>
      <c r="O18" s="149"/>
      <c r="P18" s="149"/>
      <c r="R18" s="149"/>
      <c r="S18" s="149"/>
      <c r="T18" s="149"/>
      <c r="U18" s="149"/>
      <c r="V18" s="149"/>
      <c r="AA18" s="82" t="s">
        <v>98</v>
      </c>
      <c r="AB18" s="83"/>
      <c r="AC18" s="83"/>
      <c r="AD18" s="83"/>
      <c r="AE18" s="83"/>
      <c r="AF18" s="83"/>
      <c r="AG18" s="83"/>
      <c r="AH18" s="83"/>
      <c r="AI18" s="84"/>
      <c r="AJ18" s="3"/>
    </row>
    <row r="19" ht="15.75" customHeight="1">
      <c r="A19" s="25"/>
      <c r="B19" s="11">
        <v>45959.0</v>
      </c>
      <c r="C19" s="12" t="s">
        <v>53</v>
      </c>
      <c r="D19" s="12" t="s">
        <v>22</v>
      </c>
      <c r="E19" s="17" t="s">
        <v>25</v>
      </c>
      <c r="F19" s="13">
        <v>2.0</v>
      </c>
      <c r="G19" s="31" t="s">
        <v>24</v>
      </c>
      <c r="H19" s="13">
        <v>0.0</v>
      </c>
      <c r="I19" s="17" t="s">
        <v>105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A19" s="85"/>
      <c r="AB19" s="86"/>
      <c r="AC19" s="86"/>
      <c r="AD19" s="86"/>
      <c r="AE19" s="86"/>
      <c r="AF19" s="86"/>
      <c r="AG19" s="86"/>
      <c r="AH19" s="86"/>
      <c r="AI19" s="87"/>
      <c r="AJ19" s="3"/>
    </row>
    <row r="20" ht="15.75" customHeight="1">
      <c r="A20" s="29"/>
      <c r="B20" s="11">
        <v>45966.0</v>
      </c>
      <c r="C20" s="12" t="s">
        <v>149</v>
      </c>
      <c r="D20" s="12" t="s">
        <v>22</v>
      </c>
      <c r="E20" s="17" t="s">
        <v>107</v>
      </c>
      <c r="F20" s="13">
        <v>2.0</v>
      </c>
      <c r="G20" s="31" t="s">
        <v>24</v>
      </c>
      <c r="H20" s="13">
        <v>0.0</v>
      </c>
      <c r="I20" s="17" t="s">
        <v>108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A20" s="5" t="s">
        <v>11</v>
      </c>
      <c r="AB20" s="5" t="s">
        <v>12</v>
      </c>
      <c r="AC20" s="5" t="s">
        <v>13</v>
      </c>
      <c r="AD20" s="5" t="s">
        <v>14</v>
      </c>
      <c r="AE20" s="5" t="s">
        <v>15</v>
      </c>
      <c r="AF20" s="5" t="s">
        <v>16</v>
      </c>
      <c r="AG20" s="5" t="s">
        <v>194</v>
      </c>
      <c r="AH20" s="5" t="s">
        <v>195</v>
      </c>
      <c r="AI20" s="5" t="s">
        <v>196</v>
      </c>
      <c r="AJ20" s="3"/>
    </row>
    <row r="21" ht="15.75" customHeight="1">
      <c r="A21" s="10">
        <v>4.0</v>
      </c>
      <c r="B21" s="44">
        <v>45993.0</v>
      </c>
      <c r="C21" s="12" t="s">
        <v>30</v>
      </c>
      <c r="D21" s="12" t="s">
        <v>22</v>
      </c>
      <c r="E21" s="17" t="s">
        <v>36</v>
      </c>
      <c r="F21" s="13">
        <v>1.0</v>
      </c>
      <c r="G21" s="31" t="s">
        <v>24</v>
      </c>
      <c r="H21" s="13">
        <v>2.0</v>
      </c>
      <c r="I21" s="17" t="s">
        <v>107</v>
      </c>
      <c r="J21" s="149"/>
      <c r="K21" s="150">
        <f t="shared" si="1"/>
        <v>1</v>
      </c>
      <c r="L21" s="151">
        <f t="shared" si="2"/>
        <v>2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A21" s="22" t="s">
        <v>29</v>
      </c>
      <c r="AB21" s="71" t="s">
        <v>36</v>
      </c>
      <c r="AC21" s="23">
        <v>30.0</v>
      </c>
      <c r="AD21" s="23">
        <v>10.0</v>
      </c>
      <c r="AE21" s="23"/>
      <c r="AF21" s="24">
        <v>1.0</v>
      </c>
      <c r="AG21" s="23">
        <v>21.0</v>
      </c>
      <c r="AH21" s="24">
        <v>3.0</v>
      </c>
      <c r="AI21" s="23">
        <v>18.0</v>
      </c>
      <c r="AJ21" s="3"/>
    </row>
    <row r="22" ht="15.75" customHeight="1">
      <c r="A22" s="25"/>
      <c r="B22" s="11">
        <v>45993.0</v>
      </c>
      <c r="C22" s="12" t="s">
        <v>30</v>
      </c>
      <c r="D22" s="12" t="s">
        <v>22</v>
      </c>
      <c r="E22" s="17" t="s">
        <v>66</v>
      </c>
      <c r="F22" s="13">
        <v>2.0</v>
      </c>
      <c r="G22" s="31" t="s">
        <v>24</v>
      </c>
      <c r="H22" s="13">
        <v>0.0</v>
      </c>
      <c r="I22" s="17" t="s">
        <v>88</v>
      </c>
      <c r="J22" s="149"/>
      <c r="K22" s="150">
        <f t="shared" si="1"/>
        <v>3</v>
      </c>
      <c r="L22" s="151">
        <f t="shared" si="2"/>
        <v>0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A22" s="22" t="s">
        <v>34</v>
      </c>
      <c r="AB22" s="71" t="s">
        <v>43</v>
      </c>
      <c r="AC22" s="23">
        <v>28.0</v>
      </c>
      <c r="AD22" s="23">
        <v>9.0</v>
      </c>
      <c r="AE22" s="23"/>
      <c r="AF22" s="24">
        <v>2.0</v>
      </c>
      <c r="AG22" s="23">
        <v>20.0</v>
      </c>
      <c r="AH22" s="24">
        <v>5.0</v>
      </c>
      <c r="AI22" s="23">
        <v>15.0</v>
      </c>
      <c r="AJ22" s="3"/>
    </row>
    <row r="23" ht="15.75" customHeight="1">
      <c r="A23" s="25"/>
      <c r="B23" s="11">
        <v>46001.0</v>
      </c>
      <c r="C23" s="12" t="s">
        <v>140</v>
      </c>
      <c r="D23" s="12" t="s">
        <v>22</v>
      </c>
      <c r="E23" s="17" t="s">
        <v>39</v>
      </c>
      <c r="F23" s="13">
        <v>1.0</v>
      </c>
      <c r="G23" s="31" t="s">
        <v>24</v>
      </c>
      <c r="H23" s="13">
        <v>2.0</v>
      </c>
      <c r="I23" s="17" t="s">
        <v>33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A23" s="22" t="s">
        <v>38</v>
      </c>
      <c r="AB23" s="71" t="s">
        <v>33</v>
      </c>
      <c r="AC23" s="23">
        <v>25.0</v>
      </c>
      <c r="AD23" s="23">
        <v>9.0</v>
      </c>
      <c r="AE23" s="23"/>
      <c r="AF23" s="24">
        <v>2.0</v>
      </c>
      <c r="AG23" s="23">
        <v>19.0</v>
      </c>
      <c r="AH23" s="24">
        <v>7.0</v>
      </c>
      <c r="AI23" s="23">
        <v>12.0</v>
      </c>
      <c r="AJ23" s="3"/>
    </row>
    <row r="24" ht="15.75" customHeight="1">
      <c r="A24" s="25"/>
      <c r="B24" s="11">
        <v>45993.0</v>
      </c>
      <c r="C24" s="12" t="s">
        <v>35</v>
      </c>
      <c r="D24" s="12" t="s">
        <v>22</v>
      </c>
      <c r="E24" s="17" t="s">
        <v>104</v>
      </c>
      <c r="F24" s="13">
        <v>0.0</v>
      </c>
      <c r="G24" s="31" t="s">
        <v>24</v>
      </c>
      <c r="H24" s="13">
        <v>2.0</v>
      </c>
      <c r="I24" s="17" t="s">
        <v>67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A24" s="22" t="s">
        <v>41</v>
      </c>
      <c r="AB24" s="71" t="s">
        <v>107</v>
      </c>
      <c r="AC24" s="23">
        <v>21.0</v>
      </c>
      <c r="AD24" s="23">
        <v>8.0</v>
      </c>
      <c r="AE24" s="23"/>
      <c r="AF24" s="24">
        <v>3.0</v>
      </c>
      <c r="AG24" s="23">
        <v>18.0</v>
      </c>
      <c r="AH24" s="24">
        <v>11.0</v>
      </c>
      <c r="AI24" s="23">
        <v>7.0</v>
      </c>
      <c r="AJ24" s="3"/>
    </row>
    <row r="25" ht="15.75" customHeight="1">
      <c r="A25" s="25"/>
      <c r="B25" s="11">
        <v>45993.0</v>
      </c>
      <c r="C25" s="12" t="s">
        <v>35</v>
      </c>
      <c r="D25" s="12" t="s">
        <v>22</v>
      </c>
      <c r="E25" s="17" t="s">
        <v>105</v>
      </c>
      <c r="F25" s="13">
        <v>0.0</v>
      </c>
      <c r="G25" s="31" t="s">
        <v>24</v>
      </c>
      <c r="H25" s="13">
        <v>2.0</v>
      </c>
      <c r="I25" s="17" t="s">
        <v>43</v>
      </c>
      <c r="J25" s="149"/>
      <c r="K25" s="150">
        <f t="shared" si="1"/>
        <v>0</v>
      </c>
      <c r="L25" s="151">
        <f t="shared" si="2"/>
        <v>3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22" t="s">
        <v>44</v>
      </c>
      <c r="AB25" s="71" t="s">
        <v>25</v>
      </c>
      <c r="AC25" s="23">
        <v>21.0</v>
      </c>
      <c r="AD25" s="23">
        <v>8.0</v>
      </c>
      <c r="AE25" s="23"/>
      <c r="AF25" s="24">
        <v>3.0</v>
      </c>
      <c r="AG25" s="23">
        <v>17.0</v>
      </c>
      <c r="AH25" s="24">
        <v>10.0</v>
      </c>
      <c r="AI25" s="23">
        <v>7.0</v>
      </c>
      <c r="AJ25" s="3"/>
    </row>
    <row r="26" ht="15.75" customHeight="1">
      <c r="A26" s="29"/>
      <c r="B26" s="11">
        <v>45993.0</v>
      </c>
      <c r="C26" s="12" t="s">
        <v>35</v>
      </c>
      <c r="D26" s="12" t="s">
        <v>22</v>
      </c>
      <c r="E26" s="17" t="s">
        <v>108</v>
      </c>
      <c r="F26" s="13">
        <v>0.0</v>
      </c>
      <c r="G26" s="31" t="s">
        <v>24</v>
      </c>
      <c r="H26" s="13">
        <v>2.0</v>
      </c>
      <c r="I26" s="17" t="s">
        <v>25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22" t="s">
        <v>47</v>
      </c>
      <c r="AB26" s="71" t="s">
        <v>88</v>
      </c>
      <c r="AC26" s="23">
        <v>18.0</v>
      </c>
      <c r="AD26" s="23">
        <v>6.0</v>
      </c>
      <c r="AE26" s="23"/>
      <c r="AF26" s="24">
        <v>5.0</v>
      </c>
      <c r="AG26" s="23">
        <v>13.0</v>
      </c>
      <c r="AH26" s="24">
        <v>11.0</v>
      </c>
      <c r="AI26" s="23">
        <v>2.0</v>
      </c>
      <c r="AJ26" s="3"/>
    </row>
    <row r="27" ht="15.75" customHeight="1">
      <c r="A27" s="10">
        <v>5.0</v>
      </c>
      <c r="B27" s="11">
        <v>46007.0</v>
      </c>
      <c r="C27" s="12" t="s">
        <v>30</v>
      </c>
      <c r="D27" s="12" t="s">
        <v>22</v>
      </c>
      <c r="E27" s="17" t="s">
        <v>36</v>
      </c>
      <c r="F27" s="13">
        <v>2.0</v>
      </c>
      <c r="G27" s="31" t="s">
        <v>24</v>
      </c>
      <c r="H27" s="13">
        <v>0.0</v>
      </c>
      <c r="I27" s="17" t="s">
        <v>66</v>
      </c>
      <c r="J27" s="149"/>
      <c r="K27" s="150">
        <f t="shared" si="1"/>
        <v>3</v>
      </c>
      <c r="L27" s="151">
        <f t="shared" si="2"/>
        <v>0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22">
        <v>7.0</v>
      </c>
      <c r="AB27" s="71" t="s">
        <v>66</v>
      </c>
      <c r="AC27" s="23">
        <v>16.0</v>
      </c>
      <c r="AD27" s="23">
        <v>5.0</v>
      </c>
      <c r="AE27" s="23"/>
      <c r="AF27" s="24">
        <v>6.0</v>
      </c>
      <c r="AG27" s="23">
        <v>12.0</v>
      </c>
      <c r="AH27" s="24">
        <v>13.0</v>
      </c>
      <c r="AI27" s="23">
        <v>-1.0</v>
      </c>
      <c r="AJ27" s="3"/>
    </row>
    <row r="28" ht="15.75" customHeight="1">
      <c r="A28" s="25"/>
      <c r="B28" s="11">
        <v>46007.0</v>
      </c>
      <c r="C28" s="12" t="s">
        <v>30</v>
      </c>
      <c r="D28" s="12" t="s">
        <v>22</v>
      </c>
      <c r="E28" s="17" t="s">
        <v>88</v>
      </c>
      <c r="F28" s="13">
        <v>2.0</v>
      </c>
      <c r="G28" s="31" t="s">
        <v>24</v>
      </c>
      <c r="H28" s="13">
        <v>0.0</v>
      </c>
      <c r="I28" s="17" t="s">
        <v>39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22">
        <v>8.0</v>
      </c>
      <c r="AB28" s="71" t="s">
        <v>67</v>
      </c>
      <c r="AC28" s="23">
        <v>13.0</v>
      </c>
      <c r="AD28" s="23">
        <v>4.0</v>
      </c>
      <c r="AE28" s="23"/>
      <c r="AF28" s="24">
        <v>7.0</v>
      </c>
      <c r="AG28" s="23">
        <v>10.0</v>
      </c>
      <c r="AH28" s="24">
        <v>15.0</v>
      </c>
      <c r="AI28" s="23">
        <v>-5.0</v>
      </c>
      <c r="AJ28" s="3"/>
    </row>
    <row r="29" ht="15.75" customHeight="1">
      <c r="A29" s="25"/>
      <c r="B29" s="11">
        <v>46007.0</v>
      </c>
      <c r="C29" s="12" t="s">
        <v>30</v>
      </c>
      <c r="D29" s="12" t="s">
        <v>22</v>
      </c>
      <c r="E29" s="17" t="s">
        <v>33</v>
      </c>
      <c r="F29" s="13">
        <v>2.0</v>
      </c>
      <c r="G29" s="31" t="s">
        <v>24</v>
      </c>
      <c r="H29" s="13">
        <v>0.0</v>
      </c>
      <c r="I29" s="17" t="s">
        <v>104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124" t="s">
        <v>91</v>
      </c>
      <c r="AB29" s="71" t="s">
        <v>39</v>
      </c>
      <c r="AC29" s="23">
        <v>11.0</v>
      </c>
      <c r="AD29" s="23">
        <v>3.0</v>
      </c>
      <c r="AE29" s="23"/>
      <c r="AF29" s="24">
        <v>8.0</v>
      </c>
      <c r="AG29" s="23">
        <v>9.0</v>
      </c>
      <c r="AH29" s="24">
        <v>17.0</v>
      </c>
      <c r="AI29" s="23">
        <v>-8.0</v>
      </c>
      <c r="AJ29" s="3"/>
    </row>
    <row r="30" ht="15.75" customHeight="1">
      <c r="A30" s="25"/>
      <c r="B30" s="11">
        <v>46007.0</v>
      </c>
      <c r="C30" s="12" t="s">
        <v>35</v>
      </c>
      <c r="D30" s="12" t="s">
        <v>22</v>
      </c>
      <c r="E30" s="17" t="s">
        <v>67</v>
      </c>
      <c r="F30" s="13">
        <v>2.0</v>
      </c>
      <c r="G30" s="31" t="s">
        <v>24</v>
      </c>
      <c r="H30" s="13">
        <v>0.0</v>
      </c>
      <c r="I30" s="17" t="s">
        <v>105</v>
      </c>
      <c r="J30" s="149"/>
      <c r="K30" s="150">
        <f t="shared" si="1"/>
        <v>3</v>
      </c>
      <c r="L30" s="151">
        <f t="shared" si="2"/>
        <v>0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77">
        <v>10.0</v>
      </c>
      <c r="AB30" s="71" t="s">
        <v>108</v>
      </c>
      <c r="AC30" s="23">
        <v>10.0</v>
      </c>
      <c r="AD30" s="23">
        <v>3.0</v>
      </c>
      <c r="AE30" s="23"/>
      <c r="AF30" s="24">
        <v>8.0</v>
      </c>
      <c r="AG30" s="23">
        <v>7.0</v>
      </c>
      <c r="AH30" s="24">
        <v>16.0</v>
      </c>
      <c r="AI30" s="23">
        <v>-9.0</v>
      </c>
      <c r="AJ30" s="3"/>
    </row>
    <row r="31" ht="15.75" customHeight="1">
      <c r="A31" s="25"/>
      <c r="B31" s="11">
        <v>46007.0</v>
      </c>
      <c r="C31" s="12" t="s">
        <v>35</v>
      </c>
      <c r="D31" s="12" t="s">
        <v>22</v>
      </c>
      <c r="E31" s="17" t="s">
        <v>43</v>
      </c>
      <c r="F31" s="13">
        <v>2.0</v>
      </c>
      <c r="G31" s="31" t="s">
        <v>24</v>
      </c>
      <c r="H31" s="13">
        <v>0.0</v>
      </c>
      <c r="I31" s="17" t="s">
        <v>108</v>
      </c>
      <c r="J31" s="149"/>
      <c r="K31" s="150">
        <f t="shared" si="1"/>
        <v>3</v>
      </c>
      <c r="L31" s="151">
        <f t="shared" si="2"/>
        <v>0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77">
        <v>11.0</v>
      </c>
      <c r="AB31" s="71" t="s">
        <v>104</v>
      </c>
      <c r="AC31" s="23">
        <v>3.0</v>
      </c>
      <c r="AD31" s="23">
        <v>1.0</v>
      </c>
      <c r="AE31" s="23"/>
      <c r="AF31" s="24">
        <v>10.0</v>
      </c>
      <c r="AG31" s="23">
        <v>3.0</v>
      </c>
      <c r="AH31" s="24">
        <v>21.0</v>
      </c>
      <c r="AI31" s="23">
        <v>-18.0</v>
      </c>
      <c r="AJ31" s="3"/>
    </row>
    <row r="32" ht="15.75" customHeight="1">
      <c r="A32" s="29"/>
      <c r="B32" s="11">
        <v>46007.0</v>
      </c>
      <c r="C32" s="12" t="s">
        <v>35</v>
      </c>
      <c r="D32" s="12" t="s">
        <v>22</v>
      </c>
      <c r="E32" s="17" t="s">
        <v>107</v>
      </c>
      <c r="F32" s="13">
        <v>1.0</v>
      </c>
      <c r="G32" s="31" t="s">
        <v>24</v>
      </c>
      <c r="H32" s="13">
        <v>2.0</v>
      </c>
      <c r="I32" s="17" t="s">
        <v>25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77">
        <v>12.0</v>
      </c>
      <c r="AB32" s="28" t="s">
        <v>105</v>
      </c>
      <c r="AC32" s="23">
        <v>2.0</v>
      </c>
      <c r="AD32" s="28">
        <v>0.0</v>
      </c>
      <c r="AE32" s="28"/>
      <c r="AF32" s="28">
        <v>11.0</v>
      </c>
      <c r="AG32" s="28">
        <v>2.0</v>
      </c>
      <c r="AH32" s="28">
        <v>22.0</v>
      </c>
      <c r="AI32" s="28">
        <v>-20.0</v>
      </c>
      <c r="AJ32" s="3"/>
    </row>
    <row r="33" ht="15.75" customHeight="1">
      <c r="A33" s="10">
        <v>6.0</v>
      </c>
      <c r="B33" s="11">
        <v>46082.0</v>
      </c>
      <c r="C33" s="12" t="s">
        <v>75</v>
      </c>
      <c r="D33" s="12" t="s">
        <v>22</v>
      </c>
      <c r="E33" s="17" t="s">
        <v>66</v>
      </c>
      <c r="F33" s="13">
        <v>1.0</v>
      </c>
      <c r="G33" s="31" t="s">
        <v>24</v>
      </c>
      <c r="H33" s="13">
        <v>2.0</v>
      </c>
      <c r="I33" s="17" t="s">
        <v>107</v>
      </c>
      <c r="J33" s="149"/>
      <c r="K33" s="150">
        <f t="shared" si="1"/>
        <v>1</v>
      </c>
      <c r="L33" s="151">
        <f t="shared" si="2"/>
        <v>2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5" t="s">
        <v>210</v>
      </c>
      <c r="AD33" s="37"/>
      <c r="AE33" s="37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75</v>
      </c>
      <c r="D34" s="12" t="s">
        <v>22</v>
      </c>
      <c r="E34" s="17" t="s">
        <v>39</v>
      </c>
      <c r="F34" s="13">
        <v>0.0</v>
      </c>
      <c r="G34" s="31" t="s">
        <v>24</v>
      </c>
      <c r="H34" s="13">
        <v>2.0</v>
      </c>
      <c r="I34" s="17" t="s">
        <v>36</v>
      </c>
      <c r="J34" s="149"/>
      <c r="K34" s="150">
        <f t="shared" si="1"/>
        <v>0</v>
      </c>
      <c r="L34" s="151">
        <f t="shared" si="2"/>
        <v>3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80" t="s">
        <v>96</v>
      </c>
      <c r="AD34" s="37"/>
      <c r="AE34" s="37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75</v>
      </c>
      <c r="D35" s="12" t="s">
        <v>22</v>
      </c>
      <c r="E35" s="17" t="s">
        <v>104</v>
      </c>
      <c r="F35" s="13">
        <v>0.0</v>
      </c>
      <c r="G35" s="31" t="s">
        <v>24</v>
      </c>
      <c r="H35" s="13">
        <v>2.0</v>
      </c>
      <c r="I35" s="17" t="s">
        <v>88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158"/>
      <c r="AD35" s="37"/>
      <c r="AJ35" s="3"/>
    </row>
    <row r="36" ht="15.75" customHeight="1">
      <c r="A36" s="25"/>
      <c r="B36" s="11">
        <v>46082.0</v>
      </c>
      <c r="C36" s="12" t="s">
        <v>127</v>
      </c>
      <c r="D36" s="12" t="s">
        <v>22</v>
      </c>
      <c r="E36" s="17" t="s">
        <v>105</v>
      </c>
      <c r="F36" s="13">
        <v>0.0</v>
      </c>
      <c r="G36" s="31" t="s">
        <v>24</v>
      </c>
      <c r="H36" s="13">
        <v>2.0</v>
      </c>
      <c r="I36" s="17" t="s">
        <v>33</v>
      </c>
      <c r="J36" s="149"/>
      <c r="K36" s="150">
        <f t="shared" si="1"/>
        <v>0</v>
      </c>
      <c r="L36" s="151">
        <f t="shared" si="2"/>
        <v>3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J36" s="3"/>
    </row>
    <row r="37" ht="15.75" customHeight="1">
      <c r="A37" s="25"/>
      <c r="B37" s="11">
        <v>46082.0</v>
      </c>
      <c r="C37" s="12" t="s">
        <v>127</v>
      </c>
      <c r="D37" s="12" t="s">
        <v>22</v>
      </c>
      <c r="E37" s="17" t="s">
        <v>108</v>
      </c>
      <c r="F37" s="13">
        <v>1.0</v>
      </c>
      <c r="G37" s="31" t="s">
        <v>24</v>
      </c>
      <c r="H37" s="13">
        <v>2.0</v>
      </c>
      <c r="I37" s="17" t="s">
        <v>67</v>
      </c>
      <c r="J37" s="149"/>
      <c r="K37" s="150">
        <f t="shared" si="1"/>
        <v>1</v>
      </c>
      <c r="L37" s="151">
        <f t="shared" si="2"/>
        <v>2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J37" s="3"/>
    </row>
    <row r="38" ht="15.75" customHeight="1">
      <c r="A38" s="29"/>
      <c r="B38" s="11">
        <v>46082.0</v>
      </c>
      <c r="C38" s="12" t="s">
        <v>127</v>
      </c>
      <c r="D38" s="12" t="s">
        <v>22</v>
      </c>
      <c r="E38" s="17" t="s">
        <v>25</v>
      </c>
      <c r="F38" s="13">
        <v>1.0</v>
      </c>
      <c r="G38" s="31" t="s">
        <v>24</v>
      </c>
      <c r="H38" s="13">
        <v>2.0</v>
      </c>
      <c r="I38" s="17" t="s">
        <v>43</v>
      </c>
      <c r="J38" s="149"/>
      <c r="K38" s="150">
        <f t="shared" si="1"/>
        <v>1</v>
      </c>
      <c r="L38" s="151">
        <f t="shared" si="2"/>
        <v>2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30</v>
      </c>
      <c r="D39" s="12" t="s">
        <v>22</v>
      </c>
      <c r="E39" s="17" t="s">
        <v>66</v>
      </c>
      <c r="F39" s="13">
        <v>2.0</v>
      </c>
      <c r="G39" s="31" t="s">
        <v>24</v>
      </c>
      <c r="H39" s="13">
        <v>1.0</v>
      </c>
      <c r="I39" s="17" t="s">
        <v>39</v>
      </c>
      <c r="J39" s="149"/>
      <c r="K39" s="150">
        <f t="shared" si="1"/>
        <v>2</v>
      </c>
      <c r="L39" s="151">
        <f t="shared" si="2"/>
        <v>1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30</v>
      </c>
      <c r="D40" s="12" t="s">
        <v>22</v>
      </c>
      <c r="E40" s="17" t="s">
        <v>36</v>
      </c>
      <c r="F40" s="13">
        <v>2.0</v>
      </c>
      <c r="G40" s="31" t="s">
        <v>24</v>
      </c>
      <c r="H40" s="13">
        <v>0.0</v>
      </c>
      <c r="I40" s="17" t="s">
        <v>104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35</v>
      </c>
      <c r="D41" s="39" t="s">
        <v>22</v>
      </c>
      <c r="E41" s="45" t="s">
        <v>88</v>
      </c>
      <c r="F41" s="13">
        <v>2.0</v>
      </c>
      <c r="G41" s="31" t="s">
        <v>24</v>
      </c>
      <c r="H41" s="13">
        <v>0.0</v>
      </c>
      <c r="I41" s="45" t="s">
        <v>105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D41" s="37"/>
      <c r="AE41" s="37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35</v>
      </c>
      <c r="D42" s="12" t="s">
        <v>22</v>
      </c>
      <c r="E42" s="17" t="s">
        <v>33</v>
      </c>
      <c r="F42" s="13">
        <v>2.0</v>
      </c>
      <c r="G42" s="31" t="s">
        <v>24</v>
      </c>
      <c r="H42" s="13">
        <v>0.0</v>
      </c>
      <c r="I42" s="17" t="s">
        <v>108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D42" s="37"/>
      <c r="AE42" s="37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35</v>
      </c>
      <c r="D43" s="12" t="s">
        <v>22</v>
      </c>
      <c r="E43" s="17" t="s">
        <v>67</v>
      </c>
      <c r="F43" s="13">
        <v>1.0</v>
      </c>
      <c r="G43" s="31" t="s">
        <v>24</v>
      </c>
      <c r="H43" s="13">
        <v>2.0</v>
      </c>
      <c r="I43" s="17" t="s">
        <v>25</v>
      </c>
      <c r="J43" s="149"/>
      <c r="K43" s="150">
        <f t="shared" si="1"/>
        <v>1</v>
      </c>
      <c r="L43" s="151">
        <f t="shared" si="2"/>
        <v>2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35</v>
      </c>
      <c r="D44" s="12" t="s">
        <v>22</v>
      </c>
      <c r="E44" s="17" t="s">
        <v>107</v>
      </c>
      <c r="F44" s="13">
        <v>0.0</v>
      </c>
      <c r="G44" s="31" t="s">
        <v>24</v>
      </c>
      <c r="H44" s="13">
        <v>2.0</v>
      </c>
      <c r="I44" s="17" t="s">
        <v>43</v>
      </c>
      <c r="J44" s="149"/>
      <c r="K44" s="150">
        <f t="shared" si="1"/>
        <v>0</v>
      </c>
      <c r="L44" s="151">
        <f t="shared" si="2"/>
        <v>3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35</v>
      </c>
      <c r="D45" s="12" t="s">
        <v>22</v>
      </c>
      <c r="E45" s="17" t="s">
        <v>39</v>
      </c>
      <c r="F45" s="13">
        <v>1.0</v>
      </c>
      <c r="G45" s="31" t="s">
        <v>24</v>
      </c>
      <c r="H45" s="13">
        <v>2.0</v>
      </c>
      <c r="I45" s="17" t="s">
        <v>107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G45" s="3"/>
      <c r="AH45" s="3"/>
      <c r="AI45" s="3"/>
      <c r="AJ45" s="3"/>
    </row>
    <row r="46" ht="15.75" customHeight="1">
      <c r="A46" s="25"/>
      <c r="B46" s="44">
        <v>46099.0</v>
      </c>
      <c r="C46" s="12" t="s">
        <v>30</v>
      </c>
      <c r="D46" s="12" t="s">
        <v>22</v>
      </c>
      <c r="E46" s="17" t="s">
        <v>104</v>
      </c>
      <c r="F46" s="13">
        <v>0.0</v>
      </c>
      <c r="G46" s="31" t="s">
        <v>24</v>
      </c>
      <c r="H46" s="13">
        <v>2.0</v>
      </c>
      <c r="I46" s="17" t="s">
        <v>66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G46" s="3"/>
      <c r="AH46" s="3"/>
      <c r="AI46" s="3"/>
      <c r="AJ46" s="3"/>
    </row>
    <row r="47" ht="15.75" customHeight="1">
      <c r="A47" s="25"/>
      <c r="B47" s="44">
        <v>46099.0</v>
      </c>
      <c r="C47" s="12" t="s">
        <v>30</v>
      </c>
      <c r="D47" s="12" t="s">
        <v>22</v>
      </c>
      <c r="E47" s="17" t="s">
        <v>105</v>
      </c>
      <c r="F47" s="13">
        <v>0.0</v>
      </c>
      <c r="G47" s="31" t="s">
        <v>24</v>
      </c>
      <c r="H47" s="13">
        <v>2.0</v>
      </c>
      <c r="I47" s="17" t="s">
        <v>36</v>
      </c>
      <c r="J47" s="149"/>
      <c r="K47" s="150">
        <f t="shared" si="1"/>
        <v>0</v>
      </c>
      <c r="L47" s="151">
        <f t="shared" si="2"/>
        <v>3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G47" s="3"/>
      <c r="AH47" s="3"/>
      <c r="AI47" s="3"/>
      <c r="AJ47" s="3"/>
    </row>
    <row r="48" ht="15.75" customHeight="1">
      <c r="A48" s="25"/>
      <c r="B48" s="44">
        <v>46099.0</v>
      </c>
      <c r="C48" s="12" t="s">
        <v>30</v>
      </c>
      <c r="D48" s="12" t="s">
        <v>22</v>
      </c>
      <c r="E48" s="14" t="s">
        <v>108</v>
      </c>
      <c r="F48" s="13">
        <v>0.0</v>
      </c>
      <c r="G48" s="31" t="s">
        <v>24</v>
      </c>
      <c r="H48" s="13">
        <v>2.0</v>
      </c>
      <c r="I48" s="45" t="s">
        <v>88</v>
      </c>
      <c r="K48" s="150">
        <f t="shared" si="1"/>
        <v>0</v>
      </c>
      <c r="L48" s="151">
        <f t="shared" si="2"/>
        <v>3</v>
      </c>
      <c r="AG48" s="3"/>
      <c r="AH48" s="3"/>
      <c r="AI48" s="3"/>
      <c r="AJ48" s="3"/>
    </row>
    <row r="49" ht="15.75" customHeight="1">
      <c r="A49" s="25"/>
      <c r="B49" s="44">
        <v>46099.0</v>
      </c>
      <c r="C49" s="12" t="s">
        <v>35</v>
      </c>
      <c r="D49" s="12" t="s">
        <v>22</v>
      </c>
      <c r="E49" s="45" t="s">
        <v>25</v>
      </c>
      <c r="F49" s="13">
        <v>2.0</v>
      </c>
      <c r="G49" s="31" t="s">
        <v>24</v>
      </c>
      <c r="H49" s="13">
        <v>1.0</v>
      </c>
      <c r="I49" s="45" t="s">
        <v>33</v>
      </c>
      <c r="K49" s="150">
        <f t="shared" si="1"/>
        <v>2</v>
      </c>
      <c r="L49" s="151">
        <f t="shared" si="2"/>
        <v>1</v>
      </c>
      <c r="AG49" s="3"/>
      <c r="AH49" s="3"/>
      <c r="AI49" s="3"/>
      <c r="AJ49" s="3"/>
    </row>
    <row r="50" ht="15.75" customHeight="1">
      <c r="A50" s="29"/>
      <c r="B50" s="44">
        <v>46092.0</v>
      </c>
      <c r="C50" s="12" t="s">
        <v>30</v>
      </c>
      <c r="D50" s="12" t="s">
        <v>22</v>
      </c>
      <c r="E50" s="17" t="s">
        <v>43</v>
      </c>
      <c r="F50" s="13">
        <v>2.0</v>
      </c>
      <c r="G50" s="31" t="s">
        <v>24</v>
      </c>
      <c r="H50" s="13">
        <v>0.0</v>
      </c>
      <c r="I50" s="17" t="s">
        <v>67</v>
      </c>
      <c r="K50" s="150">
        <f t="shared" si="1"/>
        <v>3</v>
      </c>
      <c r="L50" s="151">
        <f t="shared" si="2"/>
        <v>0</v>
      </c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49</v>
      </c>
      <c r="D51" s="12" t="s">
        <v>22</v>
      </c>
      <c r="E51" s="17" t="s">
        <v>39</v>
      </c>
      <c r="F51" s="160">
        <v>2.0</v>
      </c>
      <c r="G51" s="31" t="s">
        <v>24</v>
      </c>
      <c r="H51" s="13">
        <v>1.0</v>
      </c>
      <c r="I51" s="17" t="s">
        <v>104</v>
      </c>
      <c r="K51" s="150">
        <f t="shared" si="1"/>
        <v>2</v>
      </c>
      <c r="L51" s="151">
        <f t="shared" si="2"/>
        <v>1</v>
      </c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49</v>
      </c>
      <c r="D52" s="12" t="s">
        <v>22</v>
      </c>
      <c r="E52" s="17" t="s">
        <v>66</v>
      </c>
      <c r="F52" s="160">
        <v>2.0</v>
      </c>
      <c r="G52" s="31" t="s">
        <v>24</v>
      </c>
      <c r="H52" s="13">
        <v>0.0</v>
      </c>
      <c r="I52" s="17" t="s">
        <v>105</v>
      </c>
      <c r="K52" s="150">
        <f t="shared" si="1"/>
        <v>3</v>
      </c>
      <c r="L52" s="151">
        <f t="shared" si="2"/>
        <v>0</v>
      </c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49</v>
      </c>
      <c r="D53" s="12" t="s">
        <v>22</v>
      </c>
      <c r="E53" s="17" t="s">
        <v>36</v>
      </c>
      <c r="F53" s="160">
        <v>2.0</v>
      </c>
      <c r="G53" s="31" t="s">
        <v>24</v>
      </c>
      <c r="H53" s="13">
        <v>0.0</v>
      </c>
      <c r="I53" s="17" t="s">
        <v>108</v>
      </c>
      <c r="K53" s="150">
        <f t="shared" si="1"/>
        <v>3</v>
      </c>
      <c r="L53" s="151">
        <f t="shared" si="2"/>
        <v>0</v>
      </c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21</v>
      </c>
      <c r="D54" s="12" t="s">
        <v>22</v>
      </c>
      <c r="E54" s="17" t="s">
        <v>88</v>
      </c>
      <c r="F54" s="160">
        <v>2.0</v>
      </c>
      <c r="G54" s="31" t="s">
        <v>24</v>
      </c>
      <c r="H54" s="13">
        <v>0.0</v>
      </c>
      <c r="I54" s="14" t="s">
        <v>25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21</v>
      </c>
      <c r="D55" s="12" t="s">
        <v>22</v>
      </c>
      <c r="E55" s="17" t="s">
        <v>33</v>
      </c>
      <c r="F55" s="160">
        <v>2.0</v>
      </c>
      <c r="G55" s="31" t="s">
        <v>24</v>
      </c>
      <c r="H55" s="13">
        <v>1.0</v>
      </c>
      <c r="I55" s="17" t="s">
        <v>43</v>
      </c>
      <c r="K55" s="150">
        <f t="shared" si="1"/>
        <v>2</v>
      </c>
      <c r="L55" s="151">
        <f t="shared" si="2"/>
        <v>1</v>
      </c>
      <c r="AA55" s="3"/>
      <c r="AB55" s="148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21</v>
      </c>
      <c r="D56" s="12" t="s">
        <v>22</v>
      </c>
      <c r="E56" s="17" t="s">
        <v>107</v>
      </c>
      <c r="F56" s="160">
        <v>2.0</v>
      </c>
      <c r="G56" s="31" t="s">
        <v>24</v>
      </c>
      <c r="H56" s="13">
        <v>0.0</v>
      </c>
      <c r="I56" s="17" t="s">
        <v>67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4">
        <v>46135.0</v>
      </c>
      <c r="C57" s="12" t="s">
        <v>30</v>
      </c>
      <c r="D57" s="12" t="s">
        <v>22</v>
      </c>
      <c r="E57" s="17" t="s">
        <v>107</v>
      </c>
      <c r="F57" s="13">
        <v>2.0</v>
      </c>
      <c r="G57" s="31" t="s">
        <v>24</v>
      </c>
      <c r="H57" s="13">
        <v>0.0</v>
      </c>
      <c r="I57" s="17" t="s">
        <v>104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30</v>
      </c>
      <c r="D58" s="12" t="s">
        <v>22</v>
      </c>
      <c r="E58" s="17" t="s">
        <v>105</v>
      </c>
      <c r="F58" s="13">
        <v>0.0</v>
      </c>
      <c r="G58" s="31" t="s">
        <v>24</v>
      </c>
      <c r="H58" s="13">
        <v>2.0</v>
      </c>
      <c r="I58" s="17" t="s">
        <v>39</v>
      </c>
      <c r="K58" s="150">
        <f t="shared" si="1"/>
        <v>0</v>
      </c>
      <c r="L58" s="151">
        <f t="shared" si="2"/>
        <v>3</v>
      </c>
      <c r="AA58" s="3"/>
      <c r="AB58" s="148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30</v>
      </c>
      <c r="D59" s="12" t="s">
        <v>22</v>
      </c>
      <c r="E59" s="17" t="s">
        <v>108</v>
      </c>
      <c r="F59" s="13">
        <v>2.0</v>
      </c>
      <c r="G59" s="31" t="s">
        <v>24</v>
      </c>
      <c r="H59" s="13">
        <v>0.0</v>
      </c>
      <c r="I59" s="17" t="s">
        <v>66</v>
      </c>
      <c r="K59" s="150">
        <f t="shared" si="1"/>
        <v>3</v>
      </c>
      <c r="L59" s="151">
        <f t="shared" si="2"/>
        <v>0</v>
      </c>
      <c r="AA59" s="3"/>
      <c r="AB59" s="148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35</v>
      </c>
      <c r="D60" s="12" t="s">
        <v>22</v>
      </c>
      <c r="E60" s="17" t="s">
        <v>25</v>
      </c>
      <c r="F60" s="13">
        <v>0.0</v>
      </c>
      <c r="G60" s="31" t="s">
        <v>24</v>
      </c>
      <c r="H60" s="13">
        <v>2.0</v>
      </c>
      <c r="I60" s="17" t="s">
        <v>36</v>
      </c>
      <c r="K60" s="150">
        <f t="shared" si="1"/>
        <v>0</v>
      </c>
      <c r="L60" s="151">
        <f t="shared" si="2"/>
        <v>3</v>
      </c>
      <c r="AA60" s="3"/>
      <c r="AB60" s="148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35</v>
      </c>
      <c r="D61" s="12" t="s">
        <v>22</v>
      </c>
      <c r="E61" s="17" t="s">
        <v>43</v>
      </c>
      <c r="F61" s="13">
        <v>2.0</v>
      </c>
      <c r="G61" s="31" t="s">
        <v>24</v>
      </c>
      <c r="H61" s="13">
        <v>0.0</v>
      </c>
      <c r="I61" s="17" t="s">
        <v>88</v>
      </c>
      <c r="K61" s="150">
        <f t="shared" si="1"/>
        <v>3</v>
      </c>
      <c r="L61" s="151">
        <f t="shared" si="2"/>
        <v>0</v>
      </c>
      <c r="AA61" s="3"/>
      <c r="AB61" s="148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35</v>
      </c>
      <c r="D62" s="12" t="s">
        <v>22</v>
      </c>
      <c r="E62" s="17" t="s">
        <v>67</v>
      </c>
      <c r="F62" s="13">
        <v>0.0</v>
      </c>
      <c r="G62" s="31" t="s">
        <v>24</v>
      </c>
      <c r="H62" s="13">
        <v>2.0</v>
      </c>
      <c r="I62" s="17" t="s">
        <v>33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30</v>
      </c>
      <c r="D63" s="12" t="s">
        <v>22</v>
      </c>
      <c r="E63" s="17" t="s">
        <v>104</v>
      </c>
      <c r="F63" s="13">
        <v>2.0</v>
      </c>
      <c r="G63" s="31" t="s">
        <v>24</v>
      </c>
      <c r="H63" s="13">
        <v>1.0</v>
      </c>
      <c r="I63" s="17" t="s">
        <v>105</v>
      </c>
      <c r="K63" s="150">
        <f t="shared" si="1"/>
        <v>2</v>
      </c>
      <c r="L63" s="151">
        <f t="shared" si="2"/>
        <v>1</v>
      </c>
      <c r="AA63" s="3"/>
      <c r="AB63" s="148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30</v>
      </c>
      <c r="D64" s="12" t="s">
        <v>22</v>
      </c>
      <c r="E64" s="17" t="s">
        <v>39</v>
      </c>
      <c r="F64" s="13">
        <v>2.0</v>
      </c>
      <c r="G64" s="31" t="s">
        <v>24</v>
      </c>
      <c r="H64" s="13">
        <v>0.0</v>
      </c>
      <c r="I64" s="17" t="s">
        <v>108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30</v>
      </c>
      <c r="D65" s="12" t="s">
        <v>22</v>
      </c>
      <c r="E65" s="17" t="s">
        <v>66</v>
      </c>
      <c r="F65" s="13">
        <v>1.0</v>
      </c>
      <c r="G65" s="31" t="s">
        <v>24</v>
      </c>
      <c r="H65" s="13">
        <v>2.0</v>
      </c>
      <c r="I65" s="17" t="s">
        <v>25</v>
      </c>
      <c r="K65" s="150">
        <f t="shared" si="1"/>
        <v>1</v>
      </c>
      <c r="L65" s="151">
        <f t="shared" si="2"/>
        <v>2</v>
      </c>
      <c r="AA65" s="3"/>
      <c r="AB65" s="148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35</v>
      </c>
      <c r="D66" s="12" t="s">
        <v>22</v>
      </c>
      <c r="E66" s="17" t="s">
        <v>36</v>
      </c>
      <c r="F66" s="13">
        <v>2.0</v>
      </c>
      <c r="G66" s="31" t="s">
        <v>24</v>
      </c>
      <c r="H66" s="13">
        <v>1.0</v>
      </c>
      <c r="I66" s="17" t="s">
        <v>43</v>
      </c>
      <c r="K66" s="150">
        <f t="shared" si="1"/>
        <v>2</v>
      </c>
      <c r="L66" s="151">
        <f t="shared" si="2"/>
        <v>1</v>
      </c>
      <c r="AA66" s="3"/>
      <c r="AB66" s="148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35</v>
      </c>
      <c r="D67" s="12" t="s">
        <v>22</v>
      </c>
      <c r="E67" s="17" t="s">
        <v>88</v>
      </c>
      <c r="F67" s="13">
        <v>2.0</v>
      </c>
      <c r="G67" s="31" t="s">
        <v>24</v>
      </c>
      <c r="H67" s="13">
        <v>1.0</v>
      </c>
      <c r="I67" s="17" t="s">
        <v>67</v>
      </c>
      <c r="K67" s="150">
        <f t="shared" si="1"/>
        <v>2</v>
      </c>
      <c r="L67" s="151">
        <f t="shared" si="2"/>
        <v>1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4">
        <v>46147.0</v>
      </c>
      <c r="C68" s="12" t="s">
        <v>35</v>
      </c>
      <c r="D68" s="12" t="s">
        <v>22</v>
      </c>
      <c r="E68" s="17" t="s">
        <v>33</v>
      </c>
      <c r="F68" s="13">
        <v>2.0</v>
      </c>
      <c r="G68" s="31" t="s">
        <v>24</v>
      </c>
      <c r="H68" s="13">
        <v>1.0</v>
      </c>
      <c r="I68" s="17" t="s">
        <v>107</v>
      </c>
      <c r="K68" s="150">
        <f t="shared" si="1"/>
        <v>2</v>
      </c>
      <c r="L68" s="151">
        <f t="shared" si="2"/>
        <v>1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61"/>
      <c r="B69" s="162"/>
      <c r="C69" s="162"/>
      <c r="D69" s="162"/>
      <c r="E69" s="43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61"/>
      <c r="B70" s="162"/>
      <c r="C70" s="162"/>
      <c r="D70" s="162"/>
      <c r="E70" s="43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61"/>
      <c r="B71" s="162"/>
      <c r="C71" s="162"/>
      <c r="D71" s="162"/>
      <c r="E71" s="43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71" t="s">
        <v>211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194</v>
      </c>
      <c r="U73" s="9" t="s">
        <v>195</v>
      </c>
      <c r="V73" s="9" t="s">
        <v>196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194</v>
      </c>
      <c r="AH73" s="5" t="s">
        <v>195</v>
      </c>
      <c r="AI73" s="5" t="s">
        <v>196</v>
      </c>
      <c r="AJ73" s="9"/>
    </row>
    <row r="74" ht="15.75" customHeight="1">
      <c r="A74" s="66">
        <v>1.0</v>
      </c>
      <c r="B74" s="11">
        <v>45943.0</v>
      </c>
      <c r="C74" s="12" t="s">
        <v>49</v>
      </c>
      <c r="D74" s="12" t="s">
        <v>22</v>
      </c>
      <c r="E74" s="17" t="s">
        <v>139</v>
      </c>
      <c r="F74" s="13">
        <v>0.0</v>
      </c>
      <c r="G74" s="31" t="s">
        <v>24</v>
      </c>
      <c r="H74" s="13">
        <v>2.0</v>
      </c>
      <c r="I74" s="17" t="s">
        <v>58</v>
      </c>
      <c r="J74" s="149"/>
      <c r="K74" s="150">
        <f t="shared" ref="K74:K139" si="9">IFS(F74=H74+2,3,F74=H74-2,0,F74=H74+1,2,F74=H74-1,1,F74="","")</f>
        <v>0</v>
      </c>
      <c r="L74" s="151">
        <f t="shared" ref="L74:L139" si="10">IFS(H74=F74+2,3,H74=F74-2,0,H74=F74+1,2,H74=F74-1,1,H74="","")</f>
        <v>3</v>
      </c>
      <c r="M74" s="149"/>
      <c r="N74" s="151">
        <v>1.0</v>
      </c>
      <c r="O74" s="152" t="s">
        <v>139</v>
      </c>
      <c r="P74" s="151">
        <f t="shared" ref="P74:P84" si="11">SUMIF(E$74:E$139,O74,K$74:K$139)+SUMIF(I$74:I$139,O74,L$74:L$139)</f>
        <v>24</v>
      </c>
      <c r="Q74" s="153">
        <f t="shared" ref="Q74:Q84" si="12">COUNTIFS(E$74:E$139,O74,K$74:K$139,2)+COUNTIFS(I$74:I$139,O74,L$74:L$139,2)+COUNTIFS(E$74:E$139,O74,K$74:K$139,3)+COUNTIFS(I$74:I$139,O74,L$74:L$139,3)</f>
        <v>8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2</v>
      </c>
      <c r="T74" s="151">
        <f t="shared" ref="T74:T84" si="14">SUMIF(E$74:E$139,O74,F$74:F$139)+SUMIF(I$74:I$139,O74,H$74:H$139)</f>
        <v>17</v>
      </c>
      <c r="U74" s="154">
        <f t="shared" ref="U74:U84" si="15">SUMIF(E$74:E$139,O74,H$74:H$139)+SUMIF(I$74:I$139,O74,F$74:F$139)</f>
        <v>5</v>
      </c>
      <c r="V74" s="151">
        <f t="shared" ref="V74:V84" si="16">T74-U74</f>
        <v>12</v>
      </c>
      <c r="X74" s="136" t="s">
        <v>26</v>
      </c>
      <c r="Y74" s="136" t="s">
        <v>13</v>
      </c>
      <c r="AA74" s="46" t="s">
        <v>29</v>
      </c>
      <c r="AB74" s="71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49</v>
      </c>
      <c r="D75" s="12" t="s">
        <v>22</v>
      </c>
      <c r="E75" s="17" t="s">
        <v>187</v>
      </c>
      <c r="F75" s="13">
        <v>0.0</v>
      </c>
      <c r="G75" s="31" t="s">
        <v>24</v>
      </c>
      <c r="H75" s="13">
        <v>2.0</v>
      </c>
      <c r="I75" s="17" t="s">
        <v>152</v>
      </c>
      <c r="J75" s="149"/>
      <c r="K75" s="150">
        <f t="shared" si="9"/>
        <v>0</v>
      </c>
      <c r="L75" s="151">
        <f t="shared" si="10"/>
        <v>3</v>
      </c>
      <c r="M75" s="149"/>
      <c r="N75" s="151">
        <v>2.0</v>
      </c>
      <c r="O75" s="152" t="s">
        <v>32</v>
      </c>
      <c r="P75" s="151">
        <f t="shared" si="11"/>
        <v>8</v>
      </c>
      <c r="Q75" s="153">
        <f t="shared" si="12"/>
        <v>2</v>
      </c>
      <c r="R75" s="154"/>
      <c r="S75" s="154">
        <f t="shared" si="13"/>
        <v>8</v>
      </c>
      <c r="T75" s="151">
        <f t="shared" si="14"/>
        <v>7</v>
      </c>
      <c r="U75" s="154">
        <f t="shared" si="15"/>
        <v>17</v>
      </c>
      <c r="V75" s="151">
        <f t="shared" si="16"/>
        <v>-10</v>
      </c>
      <c r="X75" s="137" t="s">
        <v>33</v>
      </c>
      <c r="Y75" s="137">
        <v>3.0</v>
      </c>
      <c r="AA75" s="124" t="s">
        <v>106</v>
      </c>
      <c r="AB75" s="71" t="s">
        <v>139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49</v>
      </c>
      <c r="D76" s="12" t="s">
        <v>22</v>
      </c>
      <c r="E76" s="17" t="s">
        <v>23</v>
      </c>
      <c r="F76" s="13">
        <v>2.0</v>
      </c>
      <c r="G76" s="31" t="s">
        <v>24</v>
      </c>
      <c r="H76" s="13">
        <v>0.0</v>
      </c>
      <c r="I76" s="17" t="s">
        <v>37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58</v>
      </c>
      <c r="P76" s="151">
        <f t="shared" si="11"/>
        <v>27</v>
      </c>
      <c r="Q76" s="153">
        <f t="shared" si="12"/>
        <v>10</v>
      </c>
      <c r="R76" s="154"/>
      <c r="S76" s="154">
        <f t="shared" si="13"/>
        <v>0</v>
      </c>
      <c r="T76" s="151">
        <f t="shared" si="14"/>
        <v>20</v>
      </c>
      <c r="U76" s="154">
        <f t="shared" si="15"/>
        <v>3</v>
      </c>
      <c r="V76" s="151">
        <f t="shared" si="16"/>
        <v>17</v>
      </c>
      <c r="X76" s="137" t="s">
        <v>40</v>
      </c>
      <c r="Y76" s="137">
        <v>0.0</v>
      </c>
      <c r="AA76" s="22">
        <v>3.0</v>
      </c>
      <c r="AB76" s="71" t="s">
        <v>152</v>
      </c>
      <c r="AC76" s="23">
        <v>24.0</v>
      </c>
      <c r="AD76" s="23">
        <v>8.0</v>
      </c>
      <c r="AE76" s="24"/>
      <c r="AF76" s="24">
        <v>2.0</v>
      </c>
      <c r="AG76" s="23">
        <v>17.0</v>
      </c>
      <c r="AH76" s="24">
        <v>5.0</v>
      </c>
      <c r="AI76" s="23">
        <v>12.0</v>
      </c>
      <c r="AJ76" s="18"/>
    </row>
    <row r="77" ht="15.75" customHeight="1">
      <c r="A77" s="25"/>
      <c r="B77" s="11">
        <v>45943.0</v>
      </c>
      <c r="C77" s="12" t="s">
        <v>21</v>
      </c>
      <c r="D77" s="12" t="s">
        <v>22</v>
      </c>
      <c r="E77" s="17" t="s">
        <v>63</v>
      </c>
      <c r="F77" s="13">
        <v>0.0</v>
      </c>
      <c r="G77" s="31" t="s">
        <v>24</v>
      </c>
      <c r="H77" s="13">
        <v>2.0</v>
      </c>
      <c r="I77" s="17" t="s">
        <v>61</v>
      </c>
      <c r="J77" s="149"/>
      <c r="K77" s="150">
        <f t="shared" si="9"/>
        <v>0</v>
      </c>
      <c r="L77" s="151">
        <f t="shared" si="10"/>
        <v>3</v>
      </c>
      <c r="M77" s="149"/>
      <c r="N77" s="151">
        <v>4.0</v>
      </c>
      <c r="O77" s="152" t="s">
        <v>164</v>
      </c>
      <c r="P77" s="151">
        <f t="shared" si="11"/>
        <v>16</v>
      </c>
      <c r="Q77" s="153">
        <f t="shared" si="12"/>
        <v>5</v>
      </c>
      <c r="R77" s="154"/>
      <c r="S77" s="154">
        <f t="shared" si="13"/>
        <v>5</v>
      </c>
      <c r="T77" s="151">
        <f t="shared" si="14"/>
        <v>12</v>
      </c>
      <c r="U77" s="154">
        <f t="shared" si="15"/>
        <v>11</v>
      </c>
      <c r="V77" s="151">
        <f t="shared" si="16"/>
        <v>1</v>
      </c>
      <c r="AA77" s="22">
        <v>4.0</v>
      </c>
      <c r="AB77" s="71" t="s">
        <v>23</v>
      </c>
      <c r="AC77" s="23">
        <v>19.0</v>
      </c>
      <c r="AD77" s="23">
        <v>7.0</v>
      </c>
      <c r="AE77" s="24"/>
      <c r="AF77" s="24">
        <v>3.0</v>
      </c>
      <c r="AG77" s="23">
        <v>15.0</v>
      </c>
      <c r="AH77" s="24">
        <v>9.0</v>
      </c>
      <c r="AI77" s="23">
        <v>6.0</v>
      </c>
      <c r="AJ77" s="18"/>
    </row>
    <row r="78" ht="15.75" customHeight="1">
      <c r="A78" s="25"/>
      <c r="B78" s="11">
        <v>45943.0</v>
      </c>
      <c r="C78" s="12" t="s">
        <v>21</v>
      </c>
      <c r="D78" s="12" t="s">
        <v>22</v>
      </c>
      <c r="E78" s="17" t="s">
        <v>164</v>
      </c>
      <c r="F78" s="13">
        <v>2.0</v>
      </c>
      <c r="G78" s="31" t="s">
        <v>24</v>
      </c>
      <c r="H78" s="13">
        <v>0.0</v>
      </c>
      <c r="I78" s="17" t="s">
        <v>212</v>
      </c>
      <c r="J78" s="149"/>
      <c r="K78" s="150">
        <f t="shared" si="9"/>
        <v>3</v>
      </c>
      <c r="L78" s="151">
        <f t="shared" si="10"/>
        <v>0</v>
      </c>
      <c r="M78" s="149"/>
      <c r="N78" s="151">
        <v>5.0</v>
      </c>
      <c r="O78" s="152" t="s">
        <v>152</v>
      </c>
      <c r="P78" s="151">
        <f t="shared" si="11"/>
        <v>24</v>
      </c>
      <c r="Q78" s="153">
        <f t="shared" si="12"/>
        <v>8</v>
      </c>
      <c r="R78" s="154"/>
      <c r="S78" s="154">
        <f t="shared" si="13"/>
        <v>2</v>
      </c>
      <c r="T78" s="151">
        <f t="shared" si="14"/>
        <v>17</v>
      </c>
      <c r="U78" s="154">
        <f t="shared" si="15"/>
        <v>5</v>
      </c>
      <c r="V78" s="151">
        <f t="shared" si="16"/>
        <v>12</v>
      </c>
      <c r="AA78" s="22">
        <v>5.0</v>
      </c>
      <c r="AB78" s="71" t="s">
        <v>164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32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63</v>
      </c>
      <c r="P79" s="151">
        <f t="shared" si="11"/>
        <v>0</v>
      </c>
      <c r="Q79" s="153">
        <f t="shared" si="12"/>
        <v>0</v>
      </c>
      <c r="R79" s="154"/>
      <c r="S79" s="154">
        <f t="shared" si="13"/>
        <v>10</v>
      </c>
      <c r="T79" s="151">
        <f t="shared" si="14"/>
        <v>0</v>
      </c>
      <c r="U79" s="154">
        <f t="shared" si="15"/>
        <v>20</v>
      </c>
      <c r="V79" s="151">
        <f t="shared" si="16"/>
        <v>-20</v>
      </c>
      <c r="AA79" s="22">
        <v>6.0</v>
      </c>
      <c r="AB79" s="71" t="s">
        <v>212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6">
        <v>2.0</v>
      </c>
      <c r="B80" s="163"/>
      <c r="C80" s="164"/>
      <c r="D80" s="165"/>
      <c r="E80" s="17" t="s">
        <v>58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37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8</v>
      </c>
      <c r="U80" s="154">
        <f t="shared" si="15"/>
        <v>14</v>
      </c>
      <c r="V80" s="151">
        <f t="shared" si="16"/>
        <v>-6</v>
      </c>
      <c r="AA80" s="22">
        <v>7.0</v>
      </c>
      <c r="AB80" s="71" t="s">
        <v>61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21</v>
      </c>
      <c r="D81" s="12" t="s">
        <v>22</v>
      </c>
      <c r="E81" s="17" t="s">
        <v>152</v>
      </c>
      <c r="F81" s="13">
        <v>0.0</v>
      </c>
      <c r="G81" s="31" t="s">
        <v>24</v>
      </c>
      <c r="H81" s="13">
        <v>2.0</v>
      </c>
      <c r="I81" s="17" t="s">
        <v>139</v>
      </c>
      <c r="J81" s="149"/>
      <c r="K81" s="150">
        <f t="shared" si="9"/>
        <v>0</v>
      </c>
      <c r="L81" s="151">
        <f t="shared" si="10"/>
        <v>3</v>
      </c>
      <c r="M81" s="149"/>
      <c r="N81" s="151">
        <v>8.0</v>
      </c>
      <c r="O81" s="152" t="s">
        <v>23</v>
      </c>
      <c r="P81" s="151">
        <f t="shared" si="11"/>
        <v>19</v>
      </c>
      <c r="Q81" s="153">
        <f t="shared" si="12"/>
        <v>7</v>
      </c>
      <c r="R81" s="154"/>
      <c r="S81" s="154">
        <f t="shared" si="13"/>
        <v>3</v>
      </c>
      <c r="T81" s="151">
        <f t="shared" si="14"/>
        <v>15</v>
      </c>
      <c r="U81" s="154">
        <f t="shared" si="15"/>
        <v>9</v>
      </c>
      <c r="V81" s="151">
        <f t="shared" si="16"/>
        <v>6</v>
      </c>
      <c r="AA81" s="22">
        <v>8.0</v>
      </c>
      <c r="AB81" s="71" t="s">
        <v>37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30</v>
      </c>
      <c r="D82" s="12" t="s">
        <v>22</v>
      </c>
      <c r="E82" s="17" t="s">
        <v>37</v>
      </c>
      <c r="F82" s="13">
        <v>0.0</v>
      </c>
      <c r="G82" s="31" t="s">
        <v>24</v>
      </c>
      <c r="H82" s="13">
        <v>2.0</v>
      </c>
      <c r="I82" s="17" t="s">
        <v>187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61</v>
      </c>
      <c r="P82" s="151">
        <f t="shared" si="11"/>
        <v>13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11</v>
      </c>
      <c r="U82" s="154">
        <f t="shared" si="15"/>
        <v>13</v>
      </c>
      <c r="V82" s="151">
        <f t="shared" si="16"/>
        <v>-2</v>
      </c>
      <c r="AA82" s="22">
        <v>9.0</v>
      </c>
      <c r="AB82" s="71" t="s">
        <v>187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30</v>
      </c>
      <c r="D83" s="12" t="s">
        <v>22</v>
      </c>
      <c r="E83" s="17" t="s">
        <v>61</v>
      </c>
      <c r="F83" s="13">
        <v>1.0</v>
      </c>
      <c r="G83" s="31" t="s">
        <v>24</v>
      </c>
      <c r="H83" s="13">
        <v>2.0</v>
      </c>
      <c r="I83" s="17" t="s">
        <v>23</v>
      </c>
      <c r="J83" s="149"/>
      <c r="K83" s="150">
        <f t="shared" si="9"/>
        <v>1</v>
      </c>
      <c r="L83" s="151">
        <f t="shared" si="10"/>
        <v>2</v>
      </c>
      <c r="M83" s="149"/>
      <c r="N83" s="151">
        <v>10.0</v>
      </c>
      <c r="O83" s="152" t="s">
        <v>187</v>
      </c>
      <c r="P83" s="151">
        <f t="shared" si="11"/>
        <v>10</v>
      </c>
      <c r="Q83" s="153">
        <f t="shared" si="12"/>
        <v>3</v>
      </c>
      <c r="R83" s="154"/>
      <c r="S83" s="154">
        <f t="shared" si="13"/>
        <v>7</v>
      </c>
      <c r="T83" s="151">
        <f t="shared" si="14"/>
        <v>7</v>
      </c>
      <c r="U83" s="154">
        <f t="shared" si="15"/>
        <v>14</v>
      </c>
      <c r="V83" s="151">
        <f t="shared" si="16"/>
        <v>-7</v>
      </c>
      <c r="AA83" s="22">
        <v>10.0</v>
      </c>
      <c r="AB83" s="71" t="s">
        <v>32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30</v>
      </c>
      <c r="D84" s="12" t="s">
        <v>22</v>
      </c>
      <c r="E84" s="17" t="s">
        <v>212</v>
      </c>
      <c r="F84" s="13">
        <v>2.0</v>
      </c>
      <c r="G84" s="31" t="s">
        <v>24</v>
      </c>
      <c r="H84" s="13">
        <v>0.0</v>
      </c>
      <c r="I84" s="14" t="s">
        <v>63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212</v>
      </c>
      <c r="P84" s="151">
        <f t="shared" si="11"/>
        <v>14</v>
      </c>
      <c r="Q84" s="153">
        <f t="shared" si="12"/>
        <v>3</v>
      </c>
      <c r="S84" s="154">
        <f t="shared" si="13"/>
        <v>7</v>
      </c>
      <c r="T84" s="151">
        <f t="shared" si="14"/>
        <v>11</v>
      </c>
      <c r="U84" s="154">
        <f t="shared" si="15"/>
        <v>14</v>
      </c>
      <c r="V84" s="151">
        <f t="shared" si="16"/>
        <v>-3</v>
      </c>
      <c r="AA84" s="53">
        <v>11.0</v>
      </c>
      <c r="AB84" s="71" t="s">
        <v>63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7" t="s">
        <v>35</v>
      </c>
      <c r="D85" s="12" t="s">
        <v>22</v>
      </c>
      <c r="E85" s="17" t="s">
        <v>32</v>
      </c>
      <c r="F85" s="13">
        <v>0.0</v>
      </c>
      <c r="G85" s="31" t="s">
        <v>24</v>
      </c>
      <c r="H85" s="13">
        <v>2.0</v>
      </c>
      <c r="I85" s="17" t="s">
        <v>164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213</v>
      </c>
      <c r="AD85" s="37"/>
      <c r="AE85" s="37"/>
      <c r="AF85" s="3"/>
      <c r="AG85" s="3"/>
      <c r="AH85" s="3"/>
      <c r="AI85" s="3"/>
      <c r="AJ85" s="3"/>
    </row>
    <row r="86" ht="15.75" customHeight="1">
      <c r="A86" s="66">
        <v>3.0</v>
      </c>
      <c r="B86" s="11">
        <v>45958.0</v>
      </c>
      <c r="C86" s="67" t="s">
        <v>35</v>
      </c>
      <c r="D86" s="12" t="s">
        <v>22</v>
      </c>
      <c r="E86" s="17" t="s">
        <v>58</v>
      </c>
      <c r="F86" s="13">
        <v>2.0</v>
      </c>
      <c r="G86" s="31" t="s">
        <v>24</v>
      </c>
      <c r="H86" s="13">
        <v>1.0</v>
      </c>
      <c r="I86" s="17" t="s">
        <v>152</v>
      </c>
      <c r="J86" s="149"/>
      <c r="K86" s="150">
        <f t="shared" si="9"/>
        <v>2</v>
      </c>
      <c r="L86" s="151">
        <f t="shared" si="10"/>
        <v>1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96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7" t="s">
        <v>35</v>
      </c>
      <c r="D87" s="12" t="s">
        <v>22</v>
      </c>
      <c r="E87" s="17" t="s">
        <v>139</v>
      </c>
      <c r="F87" s="13">
        <v>2.0</v>
      </c>
      <c r="G87" s="31" t="s">
        <v>24</v>
      </c>
      <c r="H87" s="13">
        <v>0.0</v>
      </c>
      <c r="I87" s="17" t="s">
        <v>37</v>
      </c>
      <c r="J87" s="149"/>
      <c r="K87" s="150">
        <f t="shared" si="9"/>
        <v>3</v>
      </c>
      <c r="L87" s="151">
        <f t="shared" si="10"/>
        <v>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167</v>
      </c>
      <c r="D88" s="12" t="s">
        <v>22</v>
      </c>
      <c r="E88" s="17" t="s">
        <v>187</v>
      </c>
      <c r="F88" s="13">
        <v>1.0</v>
      </c>
      <c r="G88" s="31" t="s">
        <v>24</v>
      </c>
      <c r="H88" s="13">
        <v>2.0</v>
      </c>
      <c r="I88" s="17" t="s">
        <v>61</v>
      </c>
      <c r="J88" s="149"/>
      <c r="K88" s="150">
        <f t="shared" si="9"/>
        <v>1</v>
      </c>
      <c r="L88" s="151">
        <f t="shared" si="10"/>
        <v>2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23</v>
      </c>
      <c r="F89" s="13">
        <v>2.0</v>
      </c>
      <c r="G89" s="31" t="s">
        <v>24</v>
      </c>
      <c r="H89" s="13">
        <v>1.0</v>
      </c>
      <c r="I89" s="17" t="s">
        <v>212</v>
      </c>
      <c r="J89" s="159"/>
      <c r="K89" s="150">
        <f t="shared" si="9"/>
        <v>2</v>
      </c>
      <c r="L89" s="151">
        <f t="shared" si="10"/>
        <v>1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54</v>
      </c>
      <c r="D90" s="12" t="s">
        <v>22</v>
      </c>
      <c r="E90" s="17" t="s">
        <v>63</v>
      </c>
      <c r="F90" s="13">
        <v>0.0</v>
      </c>
      <c r="G90" s="31" t="s">
        <v>24</v>
      </c>
      <c r="H90" s="13">
        <v>2.0</v>
      </c>
      <c r="I90" s="17" t="s">
        <v>32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  <c r="AJ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164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  <c r="AJ91" s="3"/>
    </row>
    <row r="92" ht="15.75" customHeight="1">
      <c r="A92" s="143">
        <v>4.0</v>
      </c>
      <c r="B92" s="163"/>
      <c r="C92" s="165"/>
      <c r="D92" s="165"/>
      <c r="E92" s="17" t="s">
        <v>152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49</v>
      </c>
      <c r="D93" s="12" t="s">
        <v>22</v>
      </c>
      <c r="E93" s="17" t="s">
        <v>37</v>
      </c>
      <c r="F93" s="13">
        <v>0.0</v>
      </c>
      <c r="G93" s="31" t="s">
        <v>24</v>
      </c>
      <c r="H93" s="13">
        <v>2.0</v>
      </c>
      <c r="I93" s="17" t="s">
        <v>58</v>
      </c>
      <c r="J93" s="149"/>
      <c r="K93" s="150">
        <f t="shared" si="9"/>
        <v>0</v>
      </c>
      <c r="L93" s="151">
        <f t="shared" si="10"/>
        <v>3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49</v>
      </c>
      <c r="D94" s="12" t="s">
        <v>22</v>
      </c>
      <c r="E94" s="17" t="s">
        <v>61</v>
      </c>
      <c r="F94" s="13">
        <v>0.0</v>
      </c>
      <c r="G94" s="31" t="s">
        <v>24</v>
      </c>
      <c r="H94" s="13">
        <v>2.0</v>
      </c>
      <c r="I94" s="17" t="s">
        <v>139</v>
      </c>
      <c r="J94" s="149"/>
      <c r="K94" s="150">
        <f t="shared" si="9"/>
        <v>0</v>
      </c>
      <c r="L94" s="151">
        <f t="shared" si="10"/>
        <v>3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49</v>
      </c>
      <c r="D95" s="12" t="s">
        <v>22</v>
      </c>
      <c r="E95" s="17" t="s">
        <v>212</v>
      </c>
      <c r="F95" s="13">
        <v>2.0</v>
      </c>
      <c r="G95" s="31" t="s">
        <v>24</v>
      </c>
      <c r="H95" s="13">
        <v>0.0</v>
      </c>
      <c r="I95" s="17" t="s">
        <v>187</v>
      </c>
      <c r="J95" s="149"/>
      <c r="K95" s="150">
        <f t="shared" si="9"/>
        <v>3</v>
      </c>
      <c r="L95" s="151">
        <f t="shared" si="10"/>
        <v>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21</v>
      </c>
      <c r="D96" s="12" t="s">
        <v>22</v>
      </c>
      <c r="E96" s="17" t="s">
        <v>32</v>
      </c>
      <c r="F96" s="13">
        <v>1.0</v>
      </c>
      <c r="G96" s="31" t="s">
        <v>24</v>
      </c>
      <c r="H96" s="13">
        <v>2.0</v>
      </c>
      <c r="I96" s="17" t="s">
        <v>23</v>
      </c>
      <c r="J96" s="149"/>
      <c r="K96" s="150">
        <f t="shared" si="9"/>
        <v>1</v>
      </c>
      <c r="L96" s="151">
        <f t="shared" si="10"/>
        <v>2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21</v>
      </c>
      <c r="D97" s="12" t="s">
        <v>22</v>
      </c>
      <c r="E97" s="17" t="s">
        <v>164</v>
      </c>
      <c r="F97" s="13">
        <v>2.0</v>
      </c>
      <c r="G97" s="31" t="s">
        <v>24</v>
      </c>
      <c r="H97" s="13">
        <v>0.0</v>
      </c>
      <c r="I97" s="17" t="s">
        <v>63</v>
      </c>
      <c r="J97" s="149"/>
      <c r="K97" s="150">
        <f t="shared" si="9"/>
        <v>3</v>
      </c>
      <c r="L97" s="151">
        <f t="shared" si="10"/>
        <v>0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6">
        <v>5.0</v>
      </c>
      <c r="B98" s="11">
        <v>46007.0</v>
      </c>
      <c r="C98" s="12" t="s">
        <v>49</v>
      </c>
      <c r="D98" s="12" t="s">
        <v>22</v>
      </c>
      <c r="E98" s="17" t="s">
        <v>152</v>
      </c>
      <c r="F98" s="13">
        <v>2.0</v>
      </c>
      <c r="G98" s="31" t="s">
        <v>24</v>
      </c>
      <c r="H98" s="13">
        <v>0.0</v>
      </c>
      <c r="I98" s="17" t="s">
        <v>37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49</v>
      </c>
      <c r="D99" s="12" t="s">
        <v>22</v>
      </c>
      <c r="E99" s="17" t="s">
        <v>58</v>
      </c>
      <c r="F99" s="160">
        <v>2.0</v>
      </c>
      <c r="G99" s="31" t="s">
        <v>24</v>
      </c>
      <c r="H99" s="13">
        <v>0.0</v>
      </c>
      <c r="I99" s="17" t="s">
        <v>61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49</v>
      </c>
      <c r="D100" s="12" t="s">
        <v>22</v>
      </c>
      <c r="E100" s="17" t="s">
        <v>139</v>
      </c>
      <c r="F100" s="160">
        <v>2.0</v>
      </c>
      <c r="G100" s="31" t="s">
        <v>24</v>
      </c>
      <c r="H100" s="13">
        <v>1.0</v>
      </c>
      <c r="I100" s="17" t="s">
        <v>212</v>
      </c>
      <c r="J100" s="149"/>
      <c r="K100" s="150">
        <f t="shared" si="9"/>
        <v>2</v>
      </c>
      <c r="L100" s="151">
        <f t="shared" si="10"/>
        <v>1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21</v>
      </c>
      <c r="D101" s="12" t="s">
        <v>22</v>
      </c>
      <c r="E101" s="17" t="s">
        <v>187</v>
      </c>
      <c r="F101" s="160">
        <v>2.0</v>
      </c>
      <c r="G101" s="31" t="s">
        <v>24</v>
      </c>
      <c r="H101" s="13">
        <v>0.0</v>
      </c>
      <c r="I101" s="17" t="s">
        <v>32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21</v>
      </c>
      <c r="D102" s="12" t="s">
        <v>22</v>
      </c>
      <c r="E102" s="17" t="s">
        <v>23</v>
      </c>
      <c r="F102" s="160">
        <v>2.0</v>
      </c>
      <c r="G102" s="31" t="s">
        <v>24</v>
      </c>
      <c r="H102" s="13">
        <v>0.0</v>
      </c>
      <c r="I102" s="17" t="s">
        <v>164</v>
      </c>
      <c r="J102" s="149"/>
      <c r="K102" s="150">
        <f t="shared" si="9"/>
        <v>3</v>
      </c>
      <c r="L102" s="151">
        <f t="shared" si="10"/>
        <v>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63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6">
        <v>6.0</v>
      </c>
      <c r="B104" s="163"/>
      <c r="C104" s="164"/>
      <c r="D104" s="165"/>
      <c r="E104" s="17" t="s">
        <v>37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7" t="s">
        <v>116</v>
      </c>
      <c r="D105" s="12" t="s">
        <v>22</v>
      </c>
      <c r="E105" s="17" t="s">
        <v>61</v>
      </c>
      <c r="F105" s="13">
        <v>0.0</v>
      </c>
      <c r="G105" s="31" t="s">
        <v>24</v>
      </c>
      <c r="H105" s="13">
        <v>2.0</v>
      </c>
      <c r="I105" s="17" t="s">
        <v>152</v>
      </c>
      <c r="J105" s="149"/>
      <c r="K105" s="150">
        <f t="shared" si="9"/>
        <v>0</v>
      </c>
      <c r="L105" s="151">
        <f t="shared" si="10"/>
        <v>3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7" t="s">
        <v>116</v>
      </c>
      <c r="D106" s="12" t="s">
        <v>22</v>
      </c>
      <c r="E106" s="17" t="s">
        <v>212</v>
      </c>
      <c r="F106" s="13">
        <v>1.0</v>
      </c>
      <c r="G106" s="31" t="s">
        <v>24</v>
      </c>
      <c r="H106" s="13">
        <v>2.0</v>
      </c>
      <c r="I106" s="17" t="s">
        <v>58</v>
      </c>
      <c r="J106" s="149"/>
      <c r="K106" s="150">
        <f t="shared" si="9"/>
        <v>1</v>
      </c>
      <c r="L106" s="151">
        <f t="shared" si="10"/>
        <v>2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7" t="s">
        <v>116</v>
      </c>
      <c r="D107" s="12" t="s">
        <v>22</v>
      </c>
      <c r="E107" s="17" t="s">
        <v>32</v>
      </c>
      <c r="F107" s="13">
        <v>0.0</v>
      </c>
      <c r="G107" s="31" t="s">
        <v>24</v>
      </c>
      <c r="H107" s="13">
        <v>2.0</v>
      </c>
      <c r="I107" s="17" t="s">
        <v>139</v>
      </c>
      <c r="J107" s="149"/>
      <c r="K107" s="150">
        <f t="shared" si="9"/>
        <v>0</v>
      </c>
      <c r="L107" s="151">
        <f t="shared" si="10"/>
        <v>3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7" t="s">
        <v>77</v>
      </c>
      <c r="D108" s="12" t="s">
        <v>22</v>
      </c>
      <c r="E108" s="17" t="s">
        <v>164</v>
      </c>
      <c r="F108" s="13">
        <v>2.0</v>
      </c>
      <c r="G108" s="31" t="s">
        <v>24</v>
      </c>
      <c r="H108" s="13">
        <v>0.0</v>
      </c>
      <c r="I108" s="17" t="s">
        <v>187</v>
      </c>
      <c r="J108" s="149"/>
      <c r="K108" s="150">
        <f t="shared" si="9"/>
        <v>3</v>
      </c>
      <c r="L108" s="151">
        <f t="shared" si="10"/>
        <v>0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7" t="s">
        <v>77</v>
      </c>
      <c r="D109" s="12" t="s">
        <v>22</v>
      </c>
      <c r="E109" s="17" t="s">
        <v>63</v>
      </c>
      <c r="F109" s="13">
        <v>0.0</v>
      </c>
      <c r="G109" s="31" t="s">
        <v>24</v>
      </c>
      <c r="H109" s="13">
        <v>2.0</v>
      </c>
      <c r="I109" s="17" t="s">
        <v>23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6">
        <v>7.0</v>
      </c>
      <c r="B110" s="11">
        <v>46082.0</v>
      </c>
      <c r="C110" s="67" t="s">
        <v>77</v>
      </c>
      <c r="D110" s="12" t="s">
        <v>22</v>
      </c>
      <c r="E110" s="17" t="s">
        <v>37</v>
      </c>
      <c r="F110" s="13">
        <v>2.0</v>
      </c>
      <c r="G110" s="31" t="s">
        <v>24</v>
      </c>
      <c r="H110" s="13">
        <v>0.0</v>
      </c>
      <c r="I110" s="17" t="s">
        <v>61</v>
      </c>
      <c r="J110" s="149"/>
      <c r="K110" s="150">
        <f t="shared" si="9"/>
        <v>3</v>
      </c>
      <c r="L110" s="151">
        <f t="shared" si="10"/>
        <v>0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49</v>
      </c>
      <c r="D111" s="12" t="s">
        <v>22</v>
      </c>
      <c r="E111" s="17" t="s">
        <v>152</v>
      </c>
      <c r="F111" s="13">
        <v>2.0</v>
      </c>
      <c r="G111" s="31" t="s">
        <v>24</v>
      </c>
      <c r="H111" s="13">
        <v>0.0</v>
      </c>
      <c r="I111" s="17" t="s">
        <v>212</v>
      </c>
      <c r="J111" s="149"/>
      <c r="K111" s="150">
        <f t="shared" si="9"/>
        <v>3</v>
      </c>
      <c r="L111" s="151">
        <f t="shared" si="10"/>
        <v>0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49</v>
      </c>
      <c r="D112" s="12" t="s">
        <v>22</v>
      </c>
      <c r="E112" s="17" t="s">
        <v>58</v>
      </c>
      <c r="F112" s="13">
        <v>2.0</v>
      </c>
      <c r="G112" s="31" t="s">
        <v>24</v>
      </c>
      <c r="H112" s="13">
        <v>0.0</v>
      </c>
      <c r="I112" s="17" t="s">
        <v>32</v>
      </c>
      <c r="J112" s="149"/>
      <c r="K112" s="150">
        <f t="shared" si="9"/>
        <v>3</v>
      </c>
      <c r="L112" s="151">
        <f t="shared" si="10"/>
        <v>0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49</v>
      </c>
      <c r="D113" s="12" t="s">
        <v>22</v>
      </c>
      <c r="E113" s="17" t="s">
        <v>139</v>
      </c>
      <c r="F113" s="13">
        <v>1.0</v>
      </c>
      <c r="G113" s="31" t="s">
        <v>24</v>
      </c>
      <c r="H113" s="13">
        <v>2.0</v>
      </c>
      <c r="I113" s="17" t="s">
        <v>164</v>
      </c>
      <c r="J113" s="149"/>
      <c r="K113" s="150">
        <f t="shared" si="9"/>
        <v>1</v>
      </c>
      <c r="L113" s="151">
        <f t="shared" si="10"/>
        <v>2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140</v>
      </c>
      <c r="D114" s="12" t="s">
        <v>22</v>
      </c>
      <c r="E114" s="17" t="s">
        <v>187</v>
      </c>
      <c r="F114" s="13">
        <v>2.0</v>
      </c>
      <c r="G114" s="31" t="s">
        <v>24</v>
      </c>
      <c r="H114" s="13">
        <v>0.0</v>
      </c>
      <c r="I114" s="17" t="s">
        <v>63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23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6">
        <v>8.0</v>
      </c>
      <c r="B116" s="163"/>
      <c r="C116" s="164"/>
      <c r="D116" s="165"/>
      <c r="E116" s="17" t="s">
        <v>61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21</v>
      </c>
      <c r="D117" s="12" t="s">
        <v>22</v>
      </c>
      <c r="E117" s="17" t="s">
        <v>212</v>
      </c>
      <c r="F117" s="13">
        <v>2.0</v>
      </c>
      <c r="G117" s="31" t="s">
        <v>24</v>
      </c>
      <c r="H117" s="13">
        <v>0.0</v>
      </c>
      <c r="I117" s="17" t="s">
        <v>37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21</v>
      </c>
      <c r="D118" s="12" t="s">
        <v>22</v>
      </c>
      <c r="E118" s="17" t="s">
        <v>32</v>
      </c>
      <c r="F118" s="13">
        <v>0.0</v>
      </c>
      <c r="G118" s="31" t="s">
        <v>24</v>
      </c>
      <c r="H118" s="13">
        <v>2.0</v>
      </c>
      <c r="I118" s="17" t="s">
        <v>152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140</v>
      </c>
      <c r="D119" s="12" t="s">
        <v>22</v>
      </c>
      <c r="E119" s="17" t="s">
        <v>164</v>
      </c>
      <c r="F119" s="13">
        <v>1.0</v>
      </c>
      <c r="G119" s="31" t="s">
        <v>24</v>
      </c>
      <c r="H119" s="13">
        <v>2.0</v>
      </c>
      <c r="I119" s="17" t="s">
        <v>58</v>
      </c>
      <c r="J119" s="149"/>
      <c r="K119" s="150">
        <f t="shared" si="9"/>
        <v>1</v>
      </c>
      <c r="L119" s="151">
        <f t="shared" si="10"/>
        <v>2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49</v>
      </c>
      <c r="D120" s="12" t="s">
        <v>22</v>
      </c>
      <c r="E120" s="17" t="s">
        <v>63</v>
      </c>
      <c r="F120" s="13">
        <v>0.0</v>
      </c>
      <c r="G120" s="31" t="s">
        <v>24</v>
      </c>
      <c r="H120" s="13">
        <v>2.0</v>
      </c>
      <c r="I120" s="17" t="s">
        <v>139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142</v>
      </c>
      <c r="D121" s="12" t="s">
        <v>22</v>
      </c>
      <c r="E121" s="17" t="s">
        <v>23</v>
      </c>
      <c r="F121" s="13">
        <v>2.0</v>
      </c>
      <c r="G121" s="31" t="s">
        <v>24</v>
      </c>
      <c r="H121" s="13">
        <v>0.0</v>
      </c>
      <c r="I121" s="17" t="s">
        <v>187</v>
      </c>
      <c r="J121" s="149"/>
      <c r="K121" s="150">
        <f t="shared" si="9"/>
        <v>3</v>
      </c>
      <c r="L121" s="151">
        <f t="shared" si="10"/>
        <v>0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6">
        <v>9.0</v>
      </c>
      <c r="B122" s="11">
        <v>46099.0</v>
      </c>
      <c r="C122" s="12" t="s">
        <v>142</v>
      </c>
      <c r="D122" s="12" t="s">
        <v>22</v>
      </c>
      <c r="E122" s="17" t="s">
        <v>61</v>
      </c>
      <c r="F122" s="13">
        <v>2.0</v>
      </c>
      <c r="G122" s="31" t="s">
        <v>24</v>
      </c>
      <c r="H122" s="13">
        <v>1.0</v>
      </c>
      <c r="I122" s="17" t="s">
        <v>212</v>
      </c>
      <c r="J122" s="149"/>
      <c r="K122" s="150">
        <f t="shared" si="9"/>
        <v>2</v>
      </c>
      <c r="L122" s="151">
        <f t="shared" si="10"/>
        <v>1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140</v>
      </c>
      <c r="D123" s="12" t="s">
        <v>22</v>
      </c>
      <c r="E123" s="17" t="s">
        <v>37</v>
      </c>
      <c r="F123" s="13">
        <v>2.0</v>
      </c>
      <c r="G123" s="31" t="s">
        <v>24</v>
      </c>
      <c r="H123" s="13">
        <v>1.0</v>
      </c>
      <c r="I123" s="17" t="s">
        <v>32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142</v>
      </c>
      <c r="D124" s="12" t="s">
        <v>22</v>
      </c>
      <c r="E124" s="17" t="s">
        <v>152</v>
      </c>
      <c r="F124" s="13">
        <v>2.0</v>
      </c>
      <c r="G124" s="31" t="s">
        <v>24</v>
      </c>
      <c r="H124" s="13">
        <v>0.0</v>
      </c>
      <c r="I124" s="17" t="s">
        <v>164</v>
      </c>
      <c r="J124" s="149"/>
      <c r="K124" s="150">
        <f t="shared" si="9"/>
        <v>3</v>
      </c>
      <c r="L124" s="151">
        <f t="shared" si="10"/>
        <v>0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49</v>
      </c>
      <c r="D125" s="12" t="s">
        <v>22</v>
      </c>
      <c r="E125" s="17" t="s">
        <v>58</v>
      </c>
      <c r="F125" s="13">
        <v>2.0</v>
      </c>
      <c r="G125" s="31" t="s">
        <v>24</v>
      </c>
      <c r="H125" s="13">
        <v>0.0</v>
      </c>
      <c r="I125" s="17" t="s">
        <v>63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49</v>
      </c>
      <c r="D126" s="12" t="s">
        <v>22</v>
      </c>
      <c r="E126" s="17" t="s">
        <v>139</v>
      </c>
      <c r="F126" s="13">
        <v>2.0</v>
      </c>
      <c r="G126" s="31" t="s">
        <v>24</v>
      </c>
      <c r="H126" s="13">
        <v>0.0</v>
      </c>
      <c r="I126" s="17" t="s">
        <v>23</v>
      </c>
      <c r="J126" s="149"/>
      <c r="K126" s="150">
        <f t="shared" si="9"/>
        <v>3</v>
      </c>
      <c r="L126" s="151">
        <f t="shared" si="10"/>
        <v>0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187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212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49</v>
      </c>
      <c r="D129" s="12" t="s">
        <v>22</v>
      </c>
      <c r="E129" s="17" t="s">
        <v>32</v>
      </c>
      <c r="F129" s="13">
        <v>1.0</v>
      </c>
      <c r="G129" s="31" t="s">
        <v>24</v>
      </c>
      <c r="H129" s="13">
        <v>2.0</v>
      </c>
      <c r="I129" s="17" t="s">
        <v>61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21</v>
      </c>
      <c r="D130" s="12" t="s">
        <v>22</v>
      </c>
      <c r="E130" s="17" t="s">
        <v>164</v>
      </c>
      <c r="F130" s="13">
        <v>1.0</v>
      </c>
      <c r="G130" s="31" t="s">
        <v>24</v>
      </c>
      <c r="H130" s="13">
        <v>2.0</v>
      </c>
      <c r="I130" s="17" t="s">
        <v>37</v>
      </c>
      <c r="J130" s="149"/>
      <c r="K130" s="150">
        <f t="shared" si="9"/>
        <v>1</v>
      </c>
      <c r="L130" s="151">
        <f t="shared" si="10"/>
        <v>2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21</v>
      </c>
      <c r="D131" s="12" t="s">
        <v>22</v>
      </c>
      <c r="E131" s="17" t="s">
        <v>63</v>
      </c>
      <c r="F131" s="13">
        <v>0.0</v>
      </c>
      <c r="G131" s="31" t="s">
        <v>24</v>
      </c>
      <c r="H131" s="13">
        <v>2.0</v>
      </c>
      <c r="I131" s="17" t="s">
        <v>152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21</v>
      </c>
      <c r="D132" s="12" t="s">
        <v>22</v>
      </c>
      <c r="E132" s="17" t="s">
        <v>23</v>
      </c>
      <c r="F132" s="13">
        <v>0.0</v>
      </c>
      <c r="G132" s="31" t="s">
        <v>24</v>
      </c>
      <c r="H132" s="13">
        <v>2.0</v>
      </c>
      <c r="I132" s="17" t="s">
        <v>58</v>
      </c>
      <c r="J132" s="149"/>
      <c r="K132" s="150">
        <f t="shared" si="9"/>
        <v>0</v>
      </c>
      <c r="L132" s="151">
        <f t="shared" si="10"/>
        <v>3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30</v>
      </c>
      <c r="D133" s="12" t="s">
        <v>22</v>
      </c>
      <c r="E133" s="17" t="s">
        <v>187</v>
      </c>
      <c r="F133" s="13">
        <v>0.0</v>
      </c>
      <c r="G133" s="31" t="s">
        <v>24</v>
      </c>
      <c r="H133" s="13">
        <v>2.0</v>
      </c>
      <c r="I133" s="17" t="s">
        <v>139</v>
      </c>
      <c r="J133" s="149"/>
      <c r="K133" s="150">
        <f t="shared" si="9"/>
        <v>0</v>
      </c>
      <c r="L133" s="151">
        <f t="shared" si="10"/>
        <v>3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6">
        <v>11.0</v>
      </c>
      <c r="B134" s="11">
        <v>46134.0</v>
      </c>
      <c r="C134" s="12" t="s">
        <v>30</v>
      </c>
      <c r="D134" s="12" t="s">
        <v>22</v>
      </c>
      <c r="E134" s="17" t="s">
        <v>212</v>
      </c>
      <c r="F134" s="13">
        <v>1.0</v>
      </c>
      <c r="G134" s="31" t="s">
        <v>24</v>
      </c>
      <c r="H134" s="13">
        <v>2.0</v>
      </c>
      <c r="I134" s="17" t="s">
        <v>32</v>
      </c>
      <c r="J134" s="149"/>
      <c r="K134" s="150">
        <f t="shared" si="9"/>
        <v>1</v>
      </c>
      <c r="L134" s="151">
        <f t="shared" si="10"/>
        <v>2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30</v>
      </c>
      <c r="D135" s="12" t="s">
        <v>22</v>
      </c>
      <c r="E135" s="17" t="s">
        <v>61</v>
      </c>
      <c r="F135" s="13">
        <v>2.0</v>
      </c>
      <c r="G135" s="31" t="s">
        <v>24</v>
      </c>
      <c r="H135" s="13">
        <v>0.0</v>
      </c>
      <c r="I135" s="17" t="s">
        <v>164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35</v>
      </c>
      <c r="D136" s="12" t="s">
        <v>22</v>
      </c>
      <c r="E136" s="17" t="s">
        <v>37</v>
      </c>
      <c r="F136" s="13">
        <v>2.0</v>
      </c>
      <c r="G136" s="31" t="s">
        <v>24</v>
      </c>
      <c r="H136" s="13">
        <v>0.0</v>
      </c>
      <c r="I136" s="17" t="s">
        <v>63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35</v>
      </c>
      <c r="D137" s="12" t="s">
        <v>22</v>
      </c>
      <c r="E137" s="17" t="s">
        <v>152</v>
      </c>
      <c r="F137" s="13">
        <v>2.0</v>
      </c>
      <c r="G137" s="31" t="s">
        <v>24</v>
      </c>
      <c r="H137" s="13">
        <v>1.0</v>
      </c>
      <c r="I137" s="17" t="s">
        <v>23</v>
      </c>
      <c r="J137" s="149"/>
      <c r="K137" s="150">
        <f t="shared" si="9"/>
        <v>2</v>
      </c>
      <c r="L137" s="151">
        <f t="shared" si="10"/>
        <v>1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35</v>
      </c>
      <c r="D138" s="12" t="s">
        <v>22</v>
      </c>
      <c r="E138" s="17" t="s">
        <v>58</v>
      </c>
      <c r="F138" s="13">
        <v>2.0</v>
      </c>
      <c r="G138" s="31" t="s">
        <v>24</v>
      </c>
      <c r="H138" s="13">
        <v>0.0</v>
      </c>
      <c r="I138" s="17" t="s">
        <v>187</v>
      </c>
      <c r="J138" s="149"/>
      <c r="K138" s="150">
        <f t="shared" si="9"/>
        <v>3</v>
      </c>
      <c r="L138" s="151">
        <f t="shared" si="10"/>
        <v>0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63"/>
      <c r="C139" s="165"/>
      <c r="D139" s="165"/>
      <c r="E139" s="17" t="s">
        <v>139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61"/>
      <c r="B141" s="162"/>
      <c r="C141" s="162"/>
      <c r="D141" s="162"/>
      <c r="E141" s="43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61"/>
      <c r="B142" s="162"/>
      <c r="C142" s="162"/>
      <c r="D142" s="162"/>
      <c r="E142" s="43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61"/>
      <c r="B143" s="162"/>
      <c r="C143" s="162"/>
      <c r="D143" s="162"/>
      <c r="E143" s="43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71" t="s">
        <v>214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194</v>
      </c>
      <c r="U145" s="9" t="s">
        <v>195</v>
      </c>
      <c r="V145" s="9" t="s">
        <v>196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194</v>
      </c>
      <c r="AH145" s="5" t="s">
        <v>195</v>
      </c>
      <c r="AI145" s="5" t="s">
        <v>196</v>
      </c>
      <c r="AJ145" s="9"/>
    </row>
    <row r="146" ht="15.75" customHeight="1">
      <c r="A146" s="66">
        <v>1.0</v>
      </c>
      <c r="B146" s="11">
        <v>45946.0</v>
      </c>
      <c r="C146" s="12" t="s">
        <v>30</v>
      </c>
      <c r="D146" s="12" t="s">
        <v>22</v>
      </c>
      <c r="E146" s="17" t="s">
        <v>31</v>
      </c>
      <c r="F146" s="13">
        <v>2.0</v>
      </c>
      <c r="G146" s="31" t="s">
        <v>24</v>
      </c>
      <c r="H146" s="13">
        <v>1.0</v>
      </c>
      <c r="I146" s="17" t="s">
        <v>215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31</v>
      </c>
      <c r="P146" s="151">
        <f t="shared" ref="P146:P156" si="19">SUMIF(E$146:E$211,O146,K$146:K$211)+SUMIF(I$146:I$211,O146,L$146:L$211)</f>
        <v>14</v>
      </c>
      <c r="Q146" s="153">
        <f t="shared" ref="Q146:Q156" si="20">COUNTIFS(E$146:E$211,O146,K$146:K$211,2)+COUNTIFS(I$146:I$211,O146,L$146:L$211,2)+COUNTIFS(E$146:E$211,O146,K$146:K$211,3)+COUNTIFS(I$146:I$211,O146,L$146:L$211,3)</f>
        <v>6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4</v>
      </c>
      <c r="T146" s="151">
        <f t="shared" ref="T146:T156" si="22">SUMIF(E$146:E$211,O146,F$146:F$211)+SUMIF(I$146:I$211,O146,H$146:H$211)</f>
        <v>13</v>
      </c>
      <c r="U146" s="154">
        <f t="shared" ref="U146:U156" si="23">SUMIF(E$146:E$211,O146,H$146:H$211)+SUMIF(I$146:I$211,O146,F$146:F$211)</f>
        <v>13</v>
      </c>
      <c r="V146" s="151">
        <f t="shared" ref="V146:V156" si="24">T146-U146</f>
        <v>0</v>
      </c>
      <c r="X146" s="136" t="s">
        <v>26</v>
      </c>
      <c r="Y146" s="136" t="s">
        <v>13</v>
      </c>
      <c r="AA146" s="46" t="s">
        <v>29</v>
      </c>
      <c r="AB146" s="71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30</v>
      </c>
      <c r="D147" s="12" t="s">
        <v>22</v>
      </c>
      <c r="E147" s="17" t="s">
        <v>109</v>
      </c>
      <c r="F147" s="13">
        <v>2.0</v>
      </c>
      <c r="G147" s="31" t="s">
        <v>24</v>
      </c>
      <c r="H147" s="13">
        <v>0.0</v>
      </c>
      <c r="I147" s="17" t="s">
        <v>216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60</v>
      </c>
      <c r="P147" s="151">
        <f t="shared" si="19"/>
        <v>8</v>
      </c>
      <c r="Q147" s="153">
        <f t="shared" si="20"/>
        <v>2</v>
      </c>
      <c r="R147" s="154"/>
      <c r="S147" s="154">
        <f t="shared" si="21"/>
        <v>8</v>
      </c>
      <c r="T147" s="151">
        <f t="shared" si="22"/>
        <v>6</v>
      </c>
      <c r="U147" s="154">
        <f t="shared" si="23"/>
        <v>16</v>
      </c>
      <c r="V147" s="151">
        <f t="shared" si="24"/>
        <v>-10</v>
      </c>
      <c r="X147" s="137" t="s">
        <v>33</v>
      </c>
      <c r="Y147" s="137">
        <v>3.0</v>
      </c>
      <c r="AA147" s="124" t="s">
        <v>106</v>
      </c>
      <c r="AB147" s="71" t="s">
        <v>109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30</v>
      </c>
      <c r="D148" s="12" t="s">
        <v>22</v>
      </c>
      <c r="E148" s="17" t="s">
        <v>68</v>
      </c>
      <c r="F148" s="13">
        <v>0.0</v>
      </c>
      <c r="G148" s="31" t="s">
        <v>24</v>
      </c>
      <c r="H148" s="13">
        <v>2.0</v>
      </c>
      <c r="I148" s="17" t="s">
        <v>102</v>
      </c>
      <c r="J148" s="149"/>
      <c r="K148" s="150">
        <f t="shared" si="17"/>
        <v>0</v>
      </c>
      <c r="L148" s="151">
        <f t="shared" si="18"/>
        <v>3</v>
      </c>
      <c r="M148" s="149"/>
      <c r="N148" s="151">
        <v>3.0</v>
      </c>
      <c r="O148" s="152" t="s">
        <v>215</v>
      </c>
      <c r="P148" s="151">
        <f t="shared" si="19"/>
        <v>19</v>
      </c>
      <c r="Q148" s="153">
        <f t="shared" si="20"/>
        <v>7</v>
      </c>
      <c r="R148" s="154"/>
      <c r="S148" s="154">
        <f t="shared" si="21"/>
        <v>3</v>
      </c>
      <c r="T148" s="151">
        <f t="shared" si="22"/>
        <v>17</v>
      </c>
      <c r="U148" s="154">
        <f t="shared" si="23"/>
        <v>11</v>
      </c>
      <c r="V148" s="151">
        <f t="shared" si="24"/>
        <v>6</v>
      </c>
      <c r="X148" s="137" t="s">
        <v>40</v>
      </c>
      <c r="Y148" s="137">
        <v>0.0</v>
      </c>
      <c r="AA148" s="22">
        <v>3.0</v>
      </c>
      <c r="AB148" s="71" t="s">
        <v>215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35</v>
      </c>
      <c r="D149" s="12" t="s">
        <v>22</v>
      </c>
      <c r="E149" s="17" t="s">
        <v>122</v>
      </c>
      <c r="F149" s="13">
        <v>2.0</v>
      </c>
      <c r="G149" s="31" t="s">
        <v>24</v>
      </c>
      <c r="H149" s="13">
        <v>1.0</v>
      </c>
      <c r="I149" s="17" t="s">
        <v>65</v>
      </c>
      <c r="J149" s="149"/>
      <c r="K149" s="150">
        <f t="shared" si="17"/>
        <v>2</v>
      </c>
      <c r="L149" s="151">
        <f t="shared" si="18"/>
        <v>1</v>
      </c>
      <c r="M149" s="149"/>
      <c r="N149" s="151">
        <v>4.0</v>
      </c>
      <c r="O149" s="152" t="s">
        <v>45</v>
      </c>
      <c r="P149" s="151">
        <f t="shared" si="19"/>
        <v>19</v>
      </c>
      <c r="Q149" s="153">
        <f t="shared" si="20"/>
        <v>7</v>
      </c>
      <c r="R149" s="154"/>
      <c r="S149" s="154">
        <f t="shared" si="21"/>
        <v>3</v>
      </c>
      <c r="T149" s="151">
        <f t="shared" si="22"/>
        <v>15</v>
      </c>
      <c r="U149" s="154">
        <f t="shared" si="23"/>
        <v>9</v>
      </c>
      <c r="V149" s="151">
        <f t="shared" si="24"/>
        <v>6</v>
      </c>
      <c r="AA149" s="22">
        <v>4.0</v>
      </c>
      <c r="AB149" s="71" t="s">
        <v>45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30</v>
      </c>
      <c r="D150" s="12" t="s">
        <v>22</v>
      </c>
      <c r="E150" s="17" t="s">
        <v>45</v>
      </c>
      <c r="F150" s="13">
        <v>2.0</v>
      </c>
      <c r="G150" s="31" t="s">
        <v>24</v>
      </c>
      <c r="H150" s="13">
        <v>1.0</v>
      </c>
      <c r="I150" s="17" t="s">
        <v>64</v>
      </c>
      <c r="J150" s="149"/>
      <c r="K150" s="150">
        <f t="shared" si="17"/>
        <v>2</v>
      </c>
      <c r="L150" s="151">
        <f t="shared" si="18"/>
        <v>1</v>
      </c>
      <c r="M150" s="149"/>
      <c r="N150" s="151">
        <v>5.0</v>
      </c>
      <c r="O150" s="152" t="s">
        <v>216</v>
      </c>
      <c r="P150" s="151">
        <f t="shared" si="19"/>
        <v>9</v>
      </c>
      <c r="Q150" s="153">
        <f t="shared" si="20"/>
        <v>2</v>
      </c>
      <c r="R150" s="154"/>
      <c r="S150" s="154">
        <f t="shared" si="21"/>
        <v>8</v>
      </c>
      <c r="T150" s="151">
        <f t="shared" si="22"/>
        <v>7</v>
      </c>
      <c r="U150" s="154">
        <f t="shared" si="23"/>
        <v>16</v>
      </c>
      <c r="V150" s="151">
        <f t="shared" si="24"/>
        <v>-9</v>
      </c>
      <c r="AA150" s="22">
        <v>5.0</v>
      </c>
      <c r="AB150" s="71" t="s">
        <v>64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60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122</v>
      </c>
      <c r="P151" s="151">
        <f t="shared" si="19"/>
        <v>9</v>
      </c>
      <c r="Q151" s="153">
        <f t="shared" si="20"/>
        <v>3</v>
      </c>
      <c r="R151" s="154"/>
      <c r="S151" s="154">
        <f t="shared" si="21"/>
        <v>7</v>
      </c>
      <c r="T151" s="151">
        <f t="shared" si="22"/>
        <v>8</v>
      </c>
      <c r="U151" s="154">
        <f t="shared" si="23"/>
        <v>16</v>
      </c>
      <c r="V151" s="151">
        <f t="shared" si="24"/>
        <v>-8</v>
      </c>
      <c r="AA151" s="22">
        <v>6.0</v>
      </c>
      <c r="AB151" s="71" t="s">
        <v>31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6">
        <v>2.0</v>
      </c>
      <c r="B152" s="163"/>
      <c r="C152" s="164"/>
      <c r="D152" s="165"/>
      <c r="E152" s="17" t="s">
        <v>215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102</v>
      </c>
      <c r="P152" s="151">
        <f t="shared" si="19"/>
        <v>28</v>
      </c>
      <c r="Q152" s="153">
        <f t="shared" si="20"/>
        <v>10</v>
      </c>
      <c r="R152" s="154"/>
      <c r="S152" s="154">
        <f t="shared" si="21"/>
        <v>0</v>
      </c>
      <c r="T152" s="151">
        <f t="shared" si="22"/>
        <v>20</v>
      </c>
      <c r="U152" s="154">
        <f t="shared" si="23"/>
        <v>2</v>
      </c>
      <c r="V152" s="151">
        <f t="shared" si="24"/>
        <v>18</v>
      </c>
      <c r="AA152" s="22">
        <v>7.0</v>
      </c>
      <c r="AB152" s="71" t="s">
        <v>65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35</v>
      </c>
      <c r="D153" s="12" t="s">
        <v>22</v>
      </c>
      <c r="E153" s="17" t="s">
        <v>216</v>
      </c>
      <c r="F153" s="13">
        <v>1.0</v>
      </c>
      <c r="G153" s="31" t="s">
        <v>24</v>
      </c>
      <c r="H153" s="13">
        <v>2.0</v>
      </c>
      <c r="I153" s="17" t="s">
        <v>31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68</v>
      </c>
      <c r="P153" s="151">
        <f t="shared" si="19"/>
        <v>2</v>
      </c>
      <c r="Q153" s="153">
        <f t="shared" si="20"/>
        <v>0</v>
      </c>
      <c r="R153" s="154"/>
      <c r="S153" s="154">
        <f t="shared" si="21"/>
        <v>10</v>
      </c>
      <c r="T153" s="151">
        <f t="shared" si="22"/>
        <v>2</v>
      </c>
      <c r="U153" s="154">
        <f t="shared" si="23"/>
        <v>20</v>
      </c>
      <c r="V153" s="151">
        <f t="shared" si="24"/>
        <v>-18</v>
      </c>
      <c r="AA153" s="22">
        <v>8.0</v>
      </c>
      <c r="AB153" s="71" t="s">
        <v>122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49</v>
      </c>
      <c r="D154" s="12" t="s">
        <v>22</v>
      </c>
      <c r="E154" s="17" t="s">
        <v>102</v>
      </c>
      <c r="F154" s="13">
        <v>2.0</v>
      </c>
      <c r="G154" s="31" t="s">
        <v>24</v>
      </c>
      <c r="H154" s="13">
        <v>1.0</v>
      </c>
      <c r="I154" s="17" t="s">
        <v>109</v>
      </c>
      <c r="J154" s="149"/>
      <c r="K154" s="150">
        <f t="shared" si="17"/>
        <v>2</v>
      </c>
      <c r="L154" s="151">
        <f t="shared" si="18"/>
        <v>1</v>
      </c>
      <c r="M154" s="149"/>
      <c r="N154" s="151">
        <v>9.0</v>
      </c>
      <c r="O154" s="152" t="s">
        <v>65</v>
      </c>
      <c r="P154" s="151">
        <f t="shared" si="19"/>
        <v>13</v>
      </c>
      <c r="Q154" s="153">
        <f t="shared" si="20"/>
        <v>4</v>
      </c>
      <c r="R154" s="154"/>
      <c r="S154" s="154">
        <f t="shared" si="21"/>
        <v>6</v>
      </c>
      <c r="T154" s="151">
        <f t="shared" si="22"/>
        <v>11</v>
      </c>
      <c r="U154" s="154">
        <f t="shared" si="23"/>
        <v>14</v>
      </c>
      <c r="V154" s="151">
        <f t="shared" si="24"/>
        <v>-3</v>
      </c>
      <c r="AA154" s="22">
        <v>9.0</v>
      </c>
      <c r="AB154" s="71" t="s">
        <v>216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49</v>
      </c>
      <c r="D155" s="12" t="s">
        <v>22</v>
      </c>
      <c r="E155" s="17" t="s">
        <v>65</v>
      </c>
      <c r="F155" s="13">
        <v>2.0</v>
      </c>
      <c r="G155" s="31" t="s">
        <v>24</v>
      </c>
      <c r="H155" s="13">
        <v>0.0</v>
      </c>
      <c r="I155" s="17" t="s">
        <v>68</v>
      </c>
      <c r="J155" s="149"/>
      <c r="K155" s="150">
        <f t="shared" si="17"/>
        <v>3</v>
      </c>
      <c r="L155" s="151">
        <f t="shared" si="18"/>
        <v>0</v>
      </c>
      <c r="M155" s="149"/>
      <c r="N155" s="151">
        <v>10.0</v>
      </c>
      <c r="O155" s="152" t="s">
        <v>109</v>
      </c>
      <c r="P155" s="151">
        <f t="shared" si="19"/>
        <v>27</v>
      </c>
      <c r="Q155" s="153">
        <f t="shared" si="20"/>
        <v>9</v>
      </c>
      <c r="R155" s="154"/>
      <c r="S155" s="154">
        <f t="shared" si="21"/>
        <v>1</v>
      </c>
      <c r="T155" s="151">
        <f t="shared" si="22"/>
        <v>19</v>
      </c>
      <c r="U155" s="154">
        <f t="shared" si="23"/>
        <v>3</v>
      </c>
      <c r="V155" s="151">
        <f t="shared" si="24"/>
        <v>16</v>
      </c>
      <c r="AA155" s="22">
        <v>10.0</v>
      </c>
      <c r="AB155" s="71" t="s">
        <v>60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49</v>
      </c>
      <c r="D156" s="12" t="s">
        <v>22</v>
      </c>
      <c r="E156" s="17" t="s">
        <v>64</v>
      </c>
      <c r="F156" s="13">
        <v>2.0</v>
      </c>
      <c r="G156" s="31" t="s">
        <v>24</v>
      </c>
      <c r="H156" s="13">
        <v>0.0</v>
      </c>
      <c r="I156" s="17" t="s">
        <v>122</v>
      </c>
      <c r="J156" s="149"/>
      <c r="K156" s="150">
        <f t="shared" si="17"/>
        <v>3</v>
      </c>
      <c r="L156" s="151">
        <f t="shared" si="18"/>
        <v>0</v>
      </c>
      <c r="M156" s="149"/>
      <c r="N156" s="166">
        <v>11.0</v>
      </c>
      <c r="O156" s="166" t="s">
        <v>64</v>
      </c>
      <c r="P156" s="151">
        <f t="shared" si="19"/>
        <v>17</v>
      </c>
      <c r="Q156" s="153">
        <f t="shared" si="20"/>
        <v>5</v>
      </c>
      <c r="S156" s="154">
        <f t="shared" si="21"/>
        <v>5</v>
      </c>
      <c r="T156" s="151">
        <f t="shared" si="22"/>
        <v>13</v>
      </c>
      <c r="U156" s="154">
        <f t="shared" si="23"/>
        <v>11</v>
      </c>
      <c r="V156" s="151">
        <f t="shared" si="24"/>
        <v>2</v>
      </c>
      <c r="AA156" s="53">
        <v>11.0</v>
      </c>
      <c r="AB156" s="71" t="s">
        <v>68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21</v>
      </c>
      <c r="D157" s="12" t="s">
        <v>22</v>
      </c>
      <c r="E157" s="17" t="s">
        <v>60</v>
      </c>
      <c r="F157" s="13">
        <v>0.0</v>
      </c>
      <c r="G157" s="31" t="s">
        <v>24</v>
      </c>
      <c r="H157" s="13">
        <v>2.0</v>
      </c>
      <c r="I157" s="17" t="s">
        <v>45</v>
      </c>
      <c r="J157" s="149"/>
      <c r="K157" s="150">
        <f t="shared" si="17"/>
        <v>0</v>
      </c>
      <c r="L157" s="151">
        <f t="shared" si="18"/>
        <v>3</v>
      </c>
      <c r="M157" s="149"/>
      <c r="AA157" s="35" t="s">
        <v>217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6">
        <v>3.0</v>
      </c>
      <c r="B158" s="11">
        <v>45958.0</v>
      </c>
      <c r="C158" s="12" t="s">
        <v>21</v>
      </c>
      <c r="D158" s="12" t="s">
        <v>22</v>
      </c>
      <c r="E158" s="17" t="s">
        <v>215</v>
      </c>
      <c r="F158" s="13">
        <v>2.0</v>
      </c>
      <c r="G158" s="31" t="s">
        <v>24</v>
      </c>
      <c r="H158" s="13">
        <v>1.0</v>
      </c>
      <c r="I158" s="17" t="s">
        <v>216</v>
      </c>
      <c r="J158" s="149"/>
      <c r="K158" s="150">
        <f t="shared" si="17"/>
        <v>2</v>
      </c>
      <c r="L158" s="151">
        <f t="shared" si="18"/>
        <v>1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96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21</v>
      </c>
      <c r="D159" s="12" t="s">
        <v>22</v>
      </c>
      <c r="E159" s="17" t="s">
        <v>31</v>
      </c>
      <c r="F159" s="13">
        <v>0.0</v>
      </c>
      <c r="G159" s="31" t="s">
        <v>24</v>
      </c>
      <c r="H159" s="13">
        <v>2.0</v>
      </c>
      <c r="I159" s="17" t="s">
        <v>102</v>
      </c>
      <c r="J159" s="149"/>
      <c r="K159" s="150">
        <f t="shared" si="17"/>
        <v>0</v>
      </c>
      <c r="L159" s="151">
        <f t="shared" si="18"/>
        <v>3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A159" s="158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167</v>
      </c>
      <c r="D160" s="12" t="s">
        <v>22</v>
      </c>
      <c r="E160" s="17" t="s">
        <v>109</v>
      </c>
      <c r="F160" s="13">
        <v>2.0</v>
      </c>
      <c r="G160" s="31" t="s">
        <v>24</v>
      </c>
      <c r="H160" s="13">
        <v>0.0</v>
      </c>
      <c r="I160" s="17" t="s">
        <v>65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149</v>
      </c>
      <c r="D161" s="12" t="s">
        <v>22</v>
      </c>
      <c r="E161" s="17" t="s">
        <v>68</v>
      </c>
      <c r="F161" s="13">
        <v>0.0</v>
      </c>
      <c r="G161" s="31" t="s">
        <v>24</v>
      </c>
      <c r="H161" s="13">
        <v>2.0</v>
      </c>
      <c r="I161" s="17" t="s">
        <v>64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54</v>
      </c>
      <c r="D162" s="12" t="s">
        <v>22</v>
      </c>
      <c r="E162" s="17" t="s">
        <v>122</v>
      </c>
      <c r="F162" s="13">
        <v>0.0</v>
      </c>
      <c r="G162" s="31" t="s">
        <v>24</v>
      </c>
      <c r="H162" s="13">
        <v>2.0</v>
      </c>
      <c r="I162" s="17" t="s">
        <v>60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  <c r="AJ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45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G163" s="3"/>
      <c r="AH163" s="3"/>
      <c r="AI163" s="3"/>
      <c r="AJ163" s="3"/>
    </row>
    <row r="164" ht="15.75" customHeight="1">
      <c r="A164" s="143">
        <v>4.0</v>
      </c>
      <c r="B164" s="163"/>
      <c r="C164" s="165"/>
      <c r="D164" s="165"/>
      <c r="E164" s="17" t="s">
        <v>216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21</v>
      </c>
      <c r="D165" s="12" t="s">
        <v>22</v>
      </c>
      <c r="E165" s="17" t="s">
        <v>102</v>
      </c>
      <c r="F165" s="13">
        <v>2.0</v>
      </c>
      <c r="G165" s="31" t="s">
        <v>24</v>
      </c>
      <c r="H165" s="13">
        <v>1.0</v>
      </c>
      <c r="I165" s="17" t="s">
        <v>215</v>
      </c>
      <c r="J165" s="149"/>
      <c r="K165" s="150">
        <f t="shared" si="17"/>
        <v>2</v>
      </c>
      <c r="L165" s="151">
        <f t="shared" si="18"/>
        <v>1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116</v>
      </c>
      <c r="D166" s="12" t="s">
        <v>22</v>
      </c>
      <c r="E166" s="17" t="s">
        <v>65</v>
      </c>
      <c r="F166" s="13">
        <v>2.0</v>
      </c>
      <c r="G166" s="31" t="s">
        <v>24</v>
      </c>
      <c r="H166" s="13">
        <v>1.0</v>
      </c>
      <c r="I166" s="17" t="s">
        <v>31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77</v>
      </c>
      <c r="D167" s="12" t="s">
        <v>22</v>
      </c>
      <c r="E167" s="17" t="s">
        <v>64</v>
      </c>
      <c r="F167" s="13">
        <v>0.0</v>
      </c>
      <c r="G167" s="31" t="s">
        <v>24</v>
      </c>
      <c r="H167" s="13">
        <v>2.0</v>
      </c>
      <c r="I167" s="17" t="s">
        <v>109</v>
      </c>
      <c r="J167" s="149"/>
      <c r="K167" s="150">
        <f t="shared" si="17"/>
        <v>0</v>
      </c>
      <c r="L167" s="151">
        <f t="shared" si="18"/>
        <v>3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3"/>
      <c r="AB167" s="148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49</v>
      </c>
      <c r="D168" s="12" t="s">
        <v>22</v>
      </c>
      <c r="E168" s="17" t="s">
        <v>60</v>
      </c>
      <c r="F168" s="13">
        <v>2.0</v>
      </c>
      <c r="G168" s="31" t="s">
        <v>24</v>
      </c>
      <c r="H168" s="13">
        <v>0.0</v>
      </c>
      <c r="I168" s="17" t="s">
        <v>68</v>
      </c>
      <c r="J168" s="149"/>
      <c r="K168" s="150">
        <f t="shared" si="17"/>
        <v>3</v>
      </c>
      <c r="L168" s="151">
        <f t="shared" si="18"/>
        <v>0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3"/>
      <c r="AB168" s="148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128</v>
      </c>
      <c r="D169" s="12" t="s">
        <v>22</v>
      </c>
      <c r="E169" s="17" t="s">
        <v>45</v>
      </c>
      <c r="F169" s="13">
        <v>2.0</v>
      </c>
      <c r="G169" s="31" t="s">
        <v>24</v>
      </c>
      <c r="H169" s="13">
        <v>1.0</v>
      </c>
      <c r="I169" s="17" t="s">
        <v>122</v>
      </c>
      <c r="J169" s="149"/>
      <c r="K169" s="150">
        <f t="shared" si="17"/>
        <v>2</v>
      </c>
      <c r="L169" s="151">
        <f t="shared" si="18"/>
        <v>1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3"/>
      <c r="AB169" s="148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6">
        <v>5.0</v>
      </c>
      <c r="B170" s="11">
        <v>45993.0</v>
      </c>
      <c r="C170" s="67" t="s">
        <v>30</v>
      </c>
      <c r="D170" s="12" t="s">
        <v>22</v>
      </c>
      <c r="E170" s="17" t="s">
        <v>216</v>
      </c>
      <c r="F170" s="13">
        <v>0.0</v>
      </c>
      <c r="G170" s="31" t="s">
        <v>24</v>
      </c>
      <c r="H170" s="13">
        <v>2.0</v>
      </c>
      <c r="I170" s="17" t="s">
        <v>102</v>
      </c>
      <c r="J170" s="149"/>
      <c r="K170" s="150">
        <f t="shared" si="17"/>
        <v>0</v>
      </c>
      <c r="L170" s="151">
        <f t="shared" si="18"/>
        <v>3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3"/>
      <c r="AB170" s="148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7" t="s">
        <v>201</v>
      </c>
      <c r="D171" s="12" t="s">
        <v>22</v>
      </c>
      <c r="E171" s="17" t="s">
        <v>215</v>
      </c>
      <c r="F171" s="160">
        <v>2.0</v>
      </c>
      <c r="G171" s="31" t="s">
        <v>24</v>
      </c>
      <c r="H171" s="13">
        <v>1.0</v>
      </c>
      <c r="I171" s="17" t="s">
        <v>65</v>
      </c>
      <c r="J171" s="149"/>
      <c r="K171" s="150">
        <f t="shared" si="17"/>
        <v>2</v>
      </c>
      <c r="L171" s="151">
        <f t="shared" si="18"/>
        <v>1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3"/>
      <c r="AB171" s="148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7" t="s">
        <v>201</v>
      </c>
      <c r="D172" s="12" t="s">
        <v>22</v>
      </c>
      <c r="E172" s="17" t="s">
        <v>31</v>
      </c>
      <c r="F172" s="160">
        <v>2.0</v>
      </c>
      <c r="G172" s="31" t="s">
        <v>24</v>
      </c>
      <c r="H172" s="13">
        <v>1.0</v>
      </c>
      <c r="I172" s="17" t="s">
        <v>64</v>
      </c>
      <c r="J172" s="149"/>
      <c r="K172" s="150">
        <f t="shared" si="17"/>
        <v>2</v>
      </c>
      <c r="L172" s="151">
        <f t="shared" si="18"/>
        <v>1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3"/>
      <c r="AB172" s="148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7" t="s">
        <v>140</v>
      </c>
      <c r="D173" s="12" t="s">
        <v>22</v>
      </c>
      <c r="E173" s="17" t="s">
        <v>109</v>
      </c>
      <c r="F173" s="160">
        <v>2.0</v>
      </c>
      <c r="G173" s="31" t="s">
        <v>24</v>
      </c>
      <c r="H173" s="13">
        <v>0.0</v>
      </c>
      <c r="I173" s="17" t="s">
        <v>60</v>
      </c>
      <c r="J173" s="149"/>
      <c r="K173" s="150">
        <f t="shared" si="17"/>
        <v>3</v>
      </c>
      <c r="L173" s="151">
        <f t="shared" si="18"/>
        <v>0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3"/>
      <c r="AB173" s="148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21</v>
      </c>
      <c r="D174" s="12" t="s">
        <v>22</v>
      </c>
      <c r="E174" s="17" t="s">
        <v>68</v>
      </c>
      <c r="F174" s="160">
        <v>0.0</v>
      </c>
      <c r="G174" s="31" t="s">
        <v>24</v>
      </c>
      <c r="H174" s="13">
        <v>2.0</v>
      </c>
      <c r="I174" s="17" t="s">
        <v>45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3"/>
      <c r="AB174" s="148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122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3"/>
      <c r="AB175" s="148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6">
        <v>6.0</v>
      </c>
      <c r="B176" s="163"/>
      <c r="C176" s="164"/>
      <c r="D176" s="165"/>
      <c r="E176" s="17" t="s">
        <v>102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3"/>
      <c r="AB176" s="148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128</v>
      </c>
      <c r="D177" s="12" t="s">
        <v>22</v>
      </c>
      <c r="E177" s="17" t="s">
        <v>65</v>
      </c>
      <c r="F177" s="13">
        <v>2.0</v>
      </c>
      <c r="G177" s="31" t="s">
        <v>24</v>
      </c>
      <c r="H177" s="13">
        <v>0.0</v>
      </c>
      <c r="I177" s="17" t="s">
        <v>216</v>
      </c>
      <c r="J177" s="149"/>
      <c r="K177" s="150">
        <f t="shared" si="17"/>
        <v>3</v>
      </c>
      <c r="L177" s="151">
        <f t="shared" si="18"/>
        <v>0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"/>
      <c r="AB177" s="148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128</v>
      </c>
      <c r="D178" s="12" t="s">
        <v>22</v>
      </c>
      <c r="E178" s="17" t="s">
        <v>64</v>
      </c>
      <c r="F178" s="13">
        <v>1.0</v>
      </c>
      <c r="G178" s="31" t="s">
        <v>24</v>
      </c>
      <c r="H178" s="13">
        <v>2.0</v>
      </c>
      <c r="I178" s="17" t="s">
        <v>215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3"/>
      <c r="AB178" s="148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74</v>
      </c>
      <c r="D179" s="12" t="s">
        <v>22</v>
      </c>
      <c r="E179" s="17" t="s">
        <v>60</v>
      </c>
      <c r="F179" s="13">
        <v>1.0</v>
      </c>
      <c r="G179" s="31" t="s">
        <v>24</v>
      </c>
      <c r="H179" s="13">
        <v>2.0</v>
      </c>
      <c r="I179" s="17" t="s">
        <v>31</v>
      </c>
      <c r="J179" s="149"/>
      <c r="K179" s="150">
        <f t="shared" si="17"/>
        <v>1</v>
      </c>
      <c r="L179" s="151">
        <f t="shared" si="18"/>
        <v>2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74</v>
      </c>
      <c r="D180" s="12" t="s">
        <v>22</v>
      </c>
      <c r="E180" s="17" t="s">
        <v>45</v>
      </c>
      <c r="F180" s="13">
        <v>0.0</v>
      </c>
      <c r="G180" s="31" t="s">
        <v>24</v>
      </c>
      <c r="H180" s="13">
        <v>2.0</v>
      </c>
      <c r="I180" s="17" t="s">
        <v>109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128</v>
      </c>
      <c r="D181" s="12" t="s">
        <v>22</v>
      </c>
      <c r="E181" s="17" t="s">
        <v>122</v>
      </c>
      <c r="F181" s="13">
        <v>2.0</v>
      </c>
      <c r="G181" s="31" t="s">
        <v>24</v>
      </c>
      <c r="H181" s="13">
        <v>1.0</v>
      </c>
      <c r="I181" s="17" t="s">
        <v>68</v>
      </c>
      <c r="J181" s="149"/>
      <c r="K181" s="150">
        <f t="shared" si="17"/>
        <v>2</v>
      </c>
      <c r="L181" s="151">
        <f t="shared" si="18"/>
        <v>1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6">
        <v>7.0</v>
      </c>
      <c r="B182" s="11">
        <v>46082.0</v>
      </c>
      <c r="C182" s="12" t="s">
        <v>74</v>
      </c>
      <c r="D182" s="12" t="s">
        <v>22</v>
      </c>
      <c r="E182" s="17" t="s">
        <v>102</v>
      </c>
      <c r="F182" s="13">
        <v>2.0</v>
      </c>
      <c r="G182" s="31" t="s">
        <v>24</v>
      </c>
      <c r="H182" s="13">
        <v>0.0</v>
      </c>
      <c r="I182" s="17" t="s">
        <v>65</v>
      </c>
      <c r="J182" s="149"/>
      <c r="K182" s="150">
        <f t="shared" si="17"/>
        <v>3</v>
      </c>
      <c r="L182" s="151">
        <f t="shared" si="18"/>
        <v>0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3"/>
      <c r="AB182" s="148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7" t="s">
        <v>140</v>
      </c>
      <c r="D183" s="12" t="s">
        <v>22</v>
      </c>
      <c r="E183" s="17" t="s">
        <v>216</v>
      </c>
      <c r="F183" s="13">
        <v>0.0</v>
      </c>
      <c r="G183" s="31" t="s">
        <v>24</v>
      </c>
      <c r="H183" s="13">
        <v>2.0</v>
      </c>
      <c r="I183" s="17" t="s">
        <v>64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A183" s="3"/>
      <c r="AB183" s="148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7" t="s">
        <v>140</v>
      </c>
      <c r="D184" s="12" t="s">
        <v>22</v>
      </c>
      <c r="E184" s="17" t="s">
        <v>215</v>
      </c>
      <c r="F184" s="13">
        <v>2.0</v>
      </c>
      <c r="G184" s="31" t="s">
        <v>24</v>
      </c>
      <c r="H184" s="13">
        <v>0.0</v>
      </c>
      <c r="I184" s="17" t="s">
        <v>60</v>
      </c>
      <c r="J184" s="149"/>
      <c r="K184" s="150">
        <f t="shared" si="17"/>
        <v>3</v>
      </c>
      <c r="L184" s="151">
        <f t="shared" si="18"/>
        <v>0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A184" s="3"/>
      <c r="AB184" s="148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7" t="s">
        <v>140</v>
      </c>
      <c r="D185" s="12" t="s">
        <v>22</v>
      </c>
      <c r="E185" s="17" t="s">
        <v>31</v>
      </c>
      <c r="F185" s="13">
        <v>0.0</v>
      </c>
      <c r="G185" s="31" t="s">
        <v>24</v>
      </c>
      <c r="H185" s="13">
        <v>2.0</v>
      </c>
      <c r="I185" s="17" t="s">
        <v>45</v>
      </c>
      <c r="J185" s="149"/>
      <c r="K185" s="150">
        <f t="shared" si="17"/>
        <v>0</v>
      </c>
      <c r="L185" s="151">
        <f t="shared" si="18"/>
        <v>3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A185" s="3"/>
      <c r="AB185" s="148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7" t="s">
        <v>142</v>
      </c>
      <c r="D186" s="12" t="s">
        <v>22</v>
      </c>
      <c r="E186" s="17" t="s">
        <v>109</v>
      </c>
      <c r="F186" s="13">
        <v>2.0</v>
      </c>
      <c r="G186" s="31" t="s">
        <v>24</v>
      </c>
      <c r="H186" s="13">
        <v>0.0</v>
      </c>
      <c r="I186" s="17" t="s">
        <v>122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A186" s="3"/>
      <c r="AB186" s="148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68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A187" s="3"/>
      <c r="AB187" s="148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6">
        <v>8.0</v>
      </c>
      <c r="B188" s="11"/>
      <c r="C188" s="12"/>
      <c r="D188" s="12"/>
      <c r="E188" s="17" t="s">
        <v>65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A188" s="3"/>
      <c r="AB188" s="148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7" t="s">
        <v>142</v>
      </c>
      <c r="D189" s="12" t="s">
        <v>22</v>
      </c>
      <c r="E189" s="17" t="s">
        <v>64</v>
      </c>
      <c r="F189" s="13">
        <v>0.0</v>
      </c>
      <c r="G189" s="31" t="s">
        <v>24</v>
      </c>
      <c r="H189" s="13">
        <v>2.0</v>
      </c>
      <c r="I189" s="17" t="s">
        <v>102</v>
      </c>
      <c r="J189" s="149"/>
      <c r="K189" s="150">
        <f t="shared" si="17"/>
        <v>0</v>
      </c>
      <c r="L189" s="151">
        <f t="shared" si="18"/>
        <v>3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A189" s="3"/>
      <c r="AB189" s="148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7" t="s">
        <v>142</v>
      </c>
      <c r="D190" s="12" t="s">
        <v>22</v>
      </c>
      <c r="E190" s="17" t="s">
        <v>60</v>
      </c>
      <c r="F190" s="13">
        <v>0.0</v>
      </c>
      <c r="G190" s="31" t="s">
        <v>24</v>
      </c>
      <c r="H190" s="13">
        <v>2.0</v>
      </c>
      <c r="I190" s="17" t="s">
        <v>216</v>
      </c>
      <c r="J190" s="149"/>
      <c r="K190" s="150">
        <f t="shared" si="17"/>
        <v>0</v>
      </c>
      <c r="L190" s="151">
        <f t="shared" si="18"/>
        <v>3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49</v>
      </c>
      <c r="D191" s="12" t="s">
        <v>22</v>
      </c>
      <c r="E191" s="17" t="s">
        <v>45</v>
      </c>
      <c r="F191" s="13">
        <v>1.0</v>
      </c>
      <c r="G191" s="31" t="s">
        <v>24</v>
      </c>
      <c r="H191" s="13">
        <v>2.0</v>
      </c>
      <c r="I191" s="17" t="s">
        <v>215</v>
      </c>
      <c r="J191" s="149"/>
      <c r="K191" s="150">
        <f t="shared" si="17"/>
        <v>1</v>
      </c>
      <c r="L191" s="151">
        <f t="shared" si="18"/>
        <v>2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49</v>
      </c>
      <c r="D192" s="12" t="s">
        <v>22</v>
      </c>
      <c r="E192" s="17" t="s">
        <v>122</v>
      </c>
      <c r="F192" s="13">
        <v>1.0</v>
      </c>
      <c r="G192" s="31" t="s">
        <v>24</v>
      </c>
      <c r="H192" s="13">
        <v>2.0</v>
      </c>
      <c r="I192" s="17" t="s">
        <v>31</v>
      </c>
      <c r="J192" s="149"/>
      <c r="K192" s="150">
        <f t="shared" si="17"/>
        <v>1</v>
      </c>
      <c r="L192" s="151">
        <f t="shared" si="18"/>
        <v>2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49</v>
      </c>
      <c r="D193" s="12" t="s">
        <v>22</v>
      </c>
      <c r="E193" s="17" t="s">
        <v>68</v>
      </c>
      <c r="F193" s="13">
        <v>0.0</v>
      </c>
      <c r="G193" s="31" t="s">
        <v>24</v>
      </c>
      <c r="H193" s="13">
        <v>2.0</v>
      </c>
      <c r="I193" s="17" t="s">
        <v>109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6">
        <v>9.0</v>
      </c>
      <c r="B194" s="11">
        <v>46099.0</v>
      </c>
      <c r="C194" s="12" t="s">
        <v>21</v>
      </c>
      <c r="D194" s="12" t="s">
        <v>22</v>
      </c>
      <c r="E194" s="17" t="s">
        <v>65</v>
      </c>
      <c r="F194" s="13">
        <v>1.0</v>
      </c>
      <c r="G194" s="31" t="s">
        <v>24</v>
      </c>
      <c r="H194" s="13">
        <v>2.0</v>
      </c>
      <c r="I194" s="17" t="s">
        <v>64</v>
      </c>
      <c r="J194" s="149"/>
      <c r="K194" s="150">
        <f t="shared" si="17"/>
        <v>1</v>
      </c>
      <c r="L194" s="151">
        <f t="shared" si="18"/>
        <v>2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21</v>
      </c>
      <c r="D195" s="12" t="s">
        <v>22</v>
      </c>
      <c r="E195" s="17" t="s">
        <v>102</v>
      </c>
      <c r="F195" s="13">
        <v>2.0</v>
      </c>
      <c r="G195" s="31" t="s">
        <v>24</v>
      </c>
      <c r="H195" s="13">
        <v>0.0</v>
      </c>
      <c r="I195" s="17" t="s">
        <v>60</v>
      </c>
      <c r="J195" s="149"/>
      <c r="K195" s="150">
        <f t="shared" si="17"/>
        <v>3</v>
      </c>
      <c r="L195" s="151">
        <f t="shared" si="18"/>
        <v>0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21</v>
      </c>
      <c r="D196" s="12" t="s">
        <v>22</v>
      </c>
      <c r="E196" s="17" t="s">
        <v>216</v>
      </c>
      <c r="F196" s="13">
        <v>1.0</v>
      </c>
      <c r="G196" s="31" t="s">
        <v>24</v>
      </c>
      <c r="H196" s="13">
        <v>2.0</v>
      </c>
      <c r="I196" s="17" t="s">
        <v>45</v>
      </c>
      <c r="J196" s="149"/>
      <c r="K196" s="150">
        <f t="shared" si="17"/>
        <v>1</v>
      </c>
      <c r="L196" s="151">
        <f t="shared" si="18"/>
        <v>2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49</v>
      </c>
      <c r="D197" s="12" t="s">
        <v>22</v>
      </c>
      <c r="E197" s="17" t="s">
        <v>215</v>
      </c>
      <c r="F197" s="13">
        <v>2.0</v>
      </c>
      <c r="G197" s="31" t="s">
        <v>24</v>
      </c>
      <c r="H197" s="13">
        <v>0.0</v>
      </c>
      <c r="I197" s="17" t="s">
        <v>122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21</v>
      </c>
      <c r="D198" s="12" t="s">
        <v>22</v>
      </c>
      <c r="E198" s="17" t="s">
        <v>31</v>
      </c>
      <c r="F198" s="13">
        <v>2.0</v>
      </c>
      <c r="G198" s="31" t="s">
        <v>24</v>
      </c>
      <c r="H198" s="13">
        <v>0.0</v>
      </c>
      <c r="I198" s="17" t="s">
        <v>68</v>
      </c>
      <c r="J198" s="149"/>
      <c r="K198" s="150">
        <f t="shared" si="17"/>
        <v>3</v>
      </c>
      <c r="L198" s="151">
        <f t="shared" si="18"/>
        <v>0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109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64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49</v>
      </c>
      <c r="D201" s="12" t="s">
        <v>22</v>
      </c>
      <c r="E201" s="17" t="s">
        <v>60</v>
      </c>
      <c r="F201" s="13">
        <v>1.0</v>
      </c>
      <c r="G201" s="31" t="s">
        <v>24</v>
      </c>
      <c r="H201" s="13">
        <v>2.0</v>
      </c>
      <c r="I201" s="17" t="s">
        <v>65</v>
      </c>
      <c r="J201" s="149"/>
      <c r="K201" s="150">
        <f t="shared" si="17"/>
        <v>1</v>
      </c>
      <c r="L201" s="151">
        <f t="shared" si="18"/>
        <v>2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49</v>
      </c>
      <c r="D202" s="12" t="s">
        <v>22</v>
      </c>
      <c r="E202" s="17" t="s">
        <v>45</v>
      </c>
      <c r="F202" s="13">
        <v>0.0</v>
      </c>
      <c r="G202" s="31" t="s">
        <v>24</v>
      </c>
      <c r="H202" s="13">
        <v>2.0</v>
      </c>
      <c r="I202" s="17" t="s">
        <v>102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21</v>
      </c>
      <c r="D203" s="12" t="s">
        <v>22</v>
      </c>
      <c r="E203" s="17" t="s">
        <v>122</v>
      </c>
      <c r="F203" s="13">
        <v>2.0</v>
      </c>
      <c r="G203" s="31" t="s">
        <v>24</v>
      </c>
      <c r="H203" s="13">
        <v>0.0</v>
      </c>
      <c r="I203" s="17" t="s">
        <v>216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21</v>
      </c>
      <c r="D204" s="12" t="s">
        <v>22</v>
      </c>
      <c r="E204" s="17" t="s">
        <v>68</v>
      </c>
      <c r="F204" s="13">
        <v>1.0</v>
      </c>
      <c r="G204" s="31" t="s">
        <v>24</v>
      </c>
      <c r="H204" s="13">
        <v>2.0</v>
      </c>
      <c r="I204" s="17" t="s">
        <v>215</v>
      </c>
      <c r="J204" s="149"/>
      <c r="K204" s="150">
        <f t="shared" si="17"/>
        <v>1</v>
      </c>
      <c r="L204" s="151">
        <f t="shared" si="18"/>
        <v>2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49</v>
      </c>
      <c r="D205" s="12" t="s">
        <v>22</v>
      </c>
      <c r="E205" s="17" t="s">
        <v>109</v>
      </c>
      <c r="F205" s="13">
        <v>2.0</v>
      </c>
      <c r="G205" s="31" t="s">
        <v>24</v>
      </c>
      <c r="H205" s="13">
        <v>0.0</v>
      </c>
      <c r="I205" s="17" t="s">
        <v>31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6">
        <v>11.0</v>
      </c>
      <c r="B206" s="11">
        <v>46135.0</v>
      </c>
      <c r="C206" s="12" t="s">
        <v>30</v>
      </c>
      <c r="D206" s="12" t="s">
        <v>22</v>
      </c>
      <c r="E206" s="17" t="s">
        <v>64</v>
      </c>
      <c r="F206" s="13">
        <v>2.0</v>
      </c>
      <c r="G206" s="31" t="s">
        <v>24</v>
      </c>
      <c r="H206" s="13">
        <v>0.0</v>
      </c>
      <c r="I206" s="17" t="s">
        <v>60</v>
      </c>
      <c r="J206" s="149"/>
      <c r="K206" s="150">
        <f t="shared" si="17"/>
        <v>3</v>
      </c>
      <c r="L206" s="151">
        <f t="shared" si="18"/>
        <v>0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30</v>
      </c>
      <c r="D207" s="12" t="s">
        <v>22</v>
      </c>
      <c r="E207" s="17" t="s">
        <v>65</v>
      </c>
      <c r="F207" s="13">
        <v>0.0</v>
      </c>
      <c r="G207" s="31" t="s">
        <v>24</v>
      </c>
      <c r="H207" s="13">
        <v>2.0</v>
      </c>
      <c r="I207" s="17" t="s">
        <v>45</v>
      </c>
      <c r="J207" s="149"/>
      <c r="K207" s="150">
        <f t="shared" si="17"/>
        <v>0</v>
      </c>
      <c r="L207" s="151">
        <f t="shared" si="18"/>
        <v>3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35</v>
      </c>
      <c r="D208" s="12" t="s">
        <v>22</v>
      </c>
      <c r="E208" s="17" t="s">
        <v>102</v>
      </c>
      <c r="F208" s="13">
        <v>2.0</v>
      </c>
      <c r="G208" s="31" t="s">
        <v>24</v>
      </c>
      <c r="H208" s="13">
        <v>0.0</v>
      </c>
      <c r="I208" s="17" t="s">
        <v>122</v>
      </c>
      <c r="J208" s="149"/>
      <c r="K208" s="150">
        <f t="shared" si="17"/>
        <v>3</v>
      </c>
      <c r="L208" s="151">
        <f t="shared" si="18"/>
        <v>0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35</v>
      </c>
      <c r="D209" s="12" t="s">
        <v>22</v>
      </c>
      <c r="E209" s="17" t="s">
        <v>216</v>
      </c>
      <c r="F209" s="13">
        <v>2.0</v>
      </c>
      <c r="G209" s="31" t="s">
        <v>24</v>
      </c>
      <c r="H209" s="13">
        <v>0.0</v>
      </c>
      <c r="I209" s="17" t="s">
        <v>68</v>
      </c>
      <c r="J209" s="149"/>
      <c r="K209" s="150">
        <f t="shared" si="17"/>
        <v>3</v>
      </c>
      <c r="L209" s="151">
        <f t="shared" si="18"/>
        <v>0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35</v>
      </c>
      <c r="D210" s="12" t="s">
        <v>22</v>
      </c>
      <c r="E210" s="17" t="s">
        <v>215</v>
      </c>
      <c r="F210" s="13">
        <v>1.0</v>
      </c>
      <c r="G210" s="31" t="s">
        <v>24</v>
      </c>
      <c r="H210" s="13">
        <v>2.0</v>
      </c>
      <c r="I210" s="17" t="s">
        <v>109</v>
      </c>
      <c r="J210" s="149"/>
      <c r="K210" s="150">
        <f t="shared" si="17"/>
        <v>1</v>
      </c>
      <c r="L210" s="151">
        <f t="shared" si="18"/>
        <v>2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63"/>
      <c r="C211" s="165"/>
      <c r="D211" s="165"/>
      <c r="E211" s="17" t="s">
        <v>31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1" t="s">
        <v>218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194</v>
      </c>
      <c r="U217" s="174" t="s">
        <v>195</v>
      </c>
      <c r="V217" s="174" t="s">
        <v>196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194</v>
      </c>
      <c r="AH217" s="120" t="s">
        <v>195</v>
      </c>
      <c r="AI217" s="120" t="s">
        <v>196</v>
      </c>
      <c r="AJ217" s="3"/>
    </row>
    <row r="218" ht="15.75" customHeight="1">
      <c r="A218" s="103">
        <v>1.0</v>
      </c>
      <c r="B218" s="44">
        <v>46162.0</v>
      </c>
      <c r="C218" s="12" t="s">
        <v>116</v>
      </c>
      <c r="D218" s="12" t="s">
        <v>22</v>
      </c>
      <c r="E218" s="45" t="s">
        <v>39</v>
      </c>
      <c r="F218" s="13">
        <v>0.0</v>
      </c>
      <c r="G218" s="16" t="s">
        <v>24</v>
      </c>
      <c r="H218" s="13">
        <v>2.0</v>
      </c>
      <c r="I218" s="45" t="s">
        <v>139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39</v>
      </c>
      <c r="P218" s="18">
        <f t="shared" ref="P218:P220" si="27">SUMIF(E$218:E$220,O218,K$218:K$220)+SUMIF(I$218:I$220,O218,L$218:L$220)</f>
        <v>1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2</v>
      </c>
      <c r="T218" s="18">
        <f t="shared" ref="T218:T220" si="30">SUMIF(E$218:E$220,O218,F$218:F$220)+SUMIF(I$218:I$220,O218,H$218:H$220)</f>
        <v>1</v>
      </c>
      <c r="U218" s="20">
        <f t="shared" ref="U218:U220" si="31">SUMIF(E$218:E$220,O218,H$218:H$220)+SUMIF(I$118:I$220,O218,F$218:F$220)</f>
        <v>2</v>
      </c>
      <c r="V218" s="18">
        <f t="shared" ref="V218:V220" si="32">T218-U218</f>
        <v>-1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Física</v>
      </c>
      <c r="AC218" s="23">
        <v>5.0</v>
      </c>
      <c r="AD218" s="23">
        <v>2.0</v>
      </c>
      <c r="AE218" s="24"/>
      <c r="AF218" s="24">
        <v>0.0</v>
      </c>
      <c r="AG218" s="23">
        <v>4.0</v>
      </c>
      <c r="AH218" s="24">
        <v>1.0</v>
      </c>
      <c r="AI218" s="23">
        <v>3.0</v>
      </c>
      <c r="AJ218" s="3"/>
    </row>
    <row r="219" ht="15.75" customHeight="1">
      <c r="A219" s="103">
        <v>2.0</v>
      </c>
      <c r="B219" s="44">
        <v>46162.0</v>
      </c>
      <c r="C219" s="12" t="s">
        <v>51</v>
      </c>
      <c r="D219" s="12" t="s">
        <v>22</v>
      </c>
      <c r="E219" s="45" t="s">
        <v>139</v>
      </c>
      <c r="F219" s="13">
        <v>0.0</v>
      </c>
      <c r="G219" s="16" t="s">
        <v>24</v>
      </c>
      <c r="H219" s="13">
        <v>2.0</v>
      </c>
      <c r="I219" s="45" t="s">
        <v>109</v>
      </c>
      <c r="J219" s="4"/>
      <c r="K219" s="150">
        <f t="shared" si="25"/>
        <v>0</v>
      </c>
      <c r="L219" s="151">
        <f t="shared" si="26"/>
        <v>3</v>
      </c>
      <c r="M219" s="4"/>
      <c r="N219" s="18">
        <v>2.0</v>
      </c>
      <c r="O219" s="78" t="s">
        <v>139</v>
      </c>
      <c r="P219" s="18">
        <f t="shared" si="27"/>
        <v>3</v>
      </c>
      <c r="Q219" s="18">
        <f t="shared" si="28"/>
        <v>1</v>
      </c>
      <c r="S219" s="20">
        <f t="shared" si="29"/>
        <v>1</v>
      </c>
      <c r="T219" s="18">
        <f t="shared" si="30"/>
        <v>2</v>
      </c>
      <c r="U219" s="20">
        <f t="shared" si="31"/>
        <v>6</v>
      </c>
      <c r="V219" s="18">
        <f t="shared" si="32"/>
        <v>-4</v>
      </c>
      <c r="W219" s="64"/>
      <c r="X219" s="64"/>
      <c r="Y219" s="64"/>
      <c r="Z219" s="64"/>
      <c r="AA219" s="104">
        <v>2.0</v>
      </c>
      <c r="AB219" s="71" t="s">
        <v>139</v>
      </c>
      <c r="AC219" s="23">
        <v>3.0</v>
      </c>
      <c r="AD219" s="23">
        <v>1.0</v>
      </c>
      <c r="AE219" s="24"/>
      <c r="AF219" s="24">
        <v>1.0</v>
      </c>
      <c r="AG219" s="23">
        <v>2.0</v>
      </c>
      <c r="AH219" s="24">
        <v>6.0</v>
      </c>
      <c r="AI219" s="23">
        <v>-4.0</v>
      </c>
      <c r="AJ219" s="3"/>
    </row>
    <row r="220" ht="15.75" customHeight="1">
      <c r="A220" s="103">
        <v>3.0</v>
      </c>
      <c r="B220" s="44">
        <v>46170.0</v>
      </c>
      <c r="C220" s="12" t="s">
        <v>128</v>
      </c>
      <c r="D220" s="12" t="s">
        <v>22</v>
      </c>
      <c r="E220" s="45" t="s">
        <v>109</v>
      </c>
      <c r="F220" s="13">
        <v>2.0</v>
      </c>
      <c r="G220" s="16" t="s">
        <v>24</v>
      </c>
      <c r="H220" s="13">
        <v>1.0</v>
      </c>
      <c r="I220" s="45" t="s">
        <v>39</v>
      </c>
      <c r="J220" s="4"/>
      <c r="K220" s="150">
        <f t="shared" si="25"/>
        <v>2</v>
      </c>
      <c r="L220" s="151">
        <f t="shared" si="26"/>
        <v>1</v>
      </c>
      <c r="M220" s="4"/>
      <c r="N220" s="18">
        <v>3.0</v>
      </c>
      <c r="O220" s="78" t="s">
        <v>109</v>
      </c>
      <c r="P220" s="18">
        <f t="shared" si="27"/>
        <v>5</v>
      </c>
      <c r="Q220" s="18">
        <f t="shared" si="28"/>
        <v>2</v>
      </c>
      <c r="S220" s="20">
        <f t="shared" si="29"/>
        <v>0</v>
      </c>
      <c r="T220" s="18">
        <f t="shared" si="30"/>
        <v>4</v>
      </c>
      <c r="U220" s="20">
        <f t="shared" si="31"/>
        <v>1</v>
      </c>
      <c r="V220" s="18">
        <f t="shared" si="32"/>
        <v>3</v>
      </c>
      <c r="W220" s="64"/>
      <c r="X220" s="64"/>
      <c r="Y220" s="64"/>
      <c r="Z220" s="64"/>
      <c r="AA220" s="22">
        <v>3.0</v>
      </c>
      <c r="AB220" s="71" t="s">
        <v>39</v>
      </c>
      <c r="AC220" s="23">
        <v>1.0</v>
      </c>
      <c r="AD220" s="23">
        <v>0.0</v>
      </c>
      <c r="AE220" s="24"/>
      <c r="AF220" s="24">
        <v>2.0</v>
      </c>
      <c r="AG220" s="23">
        <v>1.0</v>
      </c>
      <c r="AH220" s="24">
        <v>2.0</v>
      </c>
      <c r="AI220" s="23">
        <v>-1.0</v>
      </c>
      <c r="AJ220" s="3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  <c r="AJ221" s="3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  <c r="AJ222" s="3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  <c r="AJ223" s="3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  <c r="AJ224" s="3"/>
    </row>
    <row r="225" ht="15.75" customHeight="1">
      <c r="A225" s="1" t="s">
        <v>219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  <c r="AJ226" s="3"/>
    </row>
    <row r="227" ht="15.75" customHeight="1">
      <c r="A227" s="58" t="s">
        <v>72</v>
      </c>
      <c r="B227" s="44">
        <v>46155.0</v>
      </c>
      <c r="C227" s="12" t="s">
        <v>74</v>
      </c>
      <c r="D227" s="12" t="s">
        <v>22</v>
      </c>
      <c r="E227" s="45" t="s">
        <v>36</v>
      </c>
      <c r="F227" s="13">
        <v>2.0</v>
      </c>
      <c r="G227" s="16" t="s">
        <v>24</v>
      </c>
      <c r="H227" s="13">
        <v>0.0</v>
      </c>
      <c r="I227" s="45" t="s">
        <v>102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  <c r="AJ227" s="3"/>
    </row>
    <row r="228" ht="15.75" customHeight="1">
      <c r="A228" s="25"/>
      <c r="B228" s="44">
        <v>46155.0</v>
      </c>
      <c r="C228" s="12" t="s">
        <v>74</v>
      </c>
      <c r="D228" s="12" t="s">
        <v>22</v>
      </c>
      <c r="E228" s="45" t="s">
        <v>43</v>
      </c>
      <c r="F228" s="13">
        <v>2.0</v>
      </c>
      <c r="G228" s="16" t="s">
        <v>24</v>
      </c>
      <c r="H228" s="13">
        <v>0.0</v>
      </c>
      <c r="I228" s="45" t="s">
        <v>220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  <c r="AJ228" s="3"/>
    </row>
    <row r="229" ht="15.75" customHeight="1">
      <c r="A229" s="25"/>
      <c r="B229" s="44">
        <v>46155.0</v>
      </c>
      <c r="C229" s="12" t="s">
        <v>53</v>
      </c>
      <c r="D229" s="12" t="s">
        <v>22</v>
      </c>
      <c r="E229" s="45" t="s">
        <v>33</v>
      </c>
      <c r="F229" s="13">
        <v>2.0</v>
      </c>
      <c r="G229" s="16" t="s">
        <v>24</v>
      </c>
      <c r="H229" s="13">
        <v>0.0</v>
      </c>
      <c r="I229" s="45" t="s">
        <v>88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4">
        <v>46155.0</v>
      </c>
      <c r="C230" s="12" t="s">
        <v>53</v>
      </c>
      <c r="D230" s="12" t="s">
        <v>22</v>
      </c>
      <c r="E230" s="45" t="s">
        <v>25</v>
      </c>
      <c r="F230" s="13">
        <v>2.0</v>
      </c>
      <c r="G230" s="16" t="s">
        <v>24</v>
      </c>
      <c r="H230" s="13">
        <v>0.0</v>
      </c>
      <c r="I230" s="45" t="s">
        <v>107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"/>
    </row>
    <row r="231" ht="15.75" customHeight="1">
      <c r="A231" s="59" t="s">
        <v>73</v>
      </c>
      <c r="B231" s="44">
        <v>46162.0</v>
      </c>
      <c r="C231" s="12" t="s">
        <v>74</v>
      </c>
      <c r="D231" s="12" t="s">
        <v>22</v>
      </c>
      <c r="E231" s="45" t="s">
        <v>36</v>
      </c>
      <c r="F231" s="13">
        <v>2.0</v>
      </c>
      <c r="G231" s="16" t="s">
        <v>24</v>
      </c>
      <c r="H231" s="13">
        <v>0.0</v>
      </c>
      <c r="I231" s="45" t="s">
        <v>25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44">
        <v>46162.0</v>
      </c>
      <c r="C232" s="12" t="s">
        <v>53</v>
      </c>
      <c r="D232" s="12" t="s">
        <v>22</v>
      </c>
      <c r="E232" s="45" t="s">
        <v>43</v>
      </c>
      <c r="F232" s="13">
        <v>1.0</v>
      </c>
      <c r="G232" s="16" t="s">
        <v>24</v>
      </c>
      <c r="H232" s="13">
        <v>2.0</v>
      </c>
      <c r="I232" s="45" t="s">
        <v>33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"/>
    </row>
    <row r="233" ht="15.75" customHeight="1">
      <c r="A233" s="61" t="s">
        <v>76</v>
      </c>
      <c r="B233" s="11">
        <v>46170.0</v>
      </c>
      <c r="C233" s="12" t="s">
        <v>52</v>
      </c>
      <c r="D233" s="12" t="s">
        <v>22</v>
      </c>
      <c r="E233" s="45" t="s">
        <v>25</v>
      </c>
      <c r="F233" s="13">
        <v>2.0</v>
      </c>
      <c r="G233" s="16" t="s">
        <v>24</v>
      </c>
      <c r="H233" s="13">
        <v>1.0</v>
      </c>
      <c r="I233" s="62" t="s">
        <v>43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"/>
    </row>
    <row r="234" ht="15.75" customHeight="1">
      <c r="A234" s="61" t="s">
        <v>79</v>
      </c>
      <c r="B234" s="11">
        <v>46175.0</v>
      </c>
      <c r="C234" s="12" t="s">
        <v>52</v>
      </c>
      <c r="D234" s="12" t="s">
        <v>22</v>
      </c>
      <c r="E234" s="45" t="s">
        <v>36</v>
      </c>
      <c r="F234" s="13">
        <v>2.0</v>
      </c>
      <c r="G234" s="16" t="s">
        <v>24</v>
      </c>
      <c r="H234" s="13">
        <v>0.0</v>
      </c>
      <c r="I234" s="45" t="s">
        <v>33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"/>
    </row>
    <row r="235" ht="15.75" customHeight="1">
      <c r="A235" s="173"/>
      <c r="E235" s="148"/>
      <c r="I235" s="148"/>
      <c r="AA235" s="3"/>
      <c r="AB235" s="148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1:A26"/>
    <mergeCell ref="A27:A32"/>
    <mergeCell ref="A33:A38"/>
    <mergeCell ref="A39:A44"/>
    <mergeCell ref="A45:A50"/>
    <mergeCell ref="A51:A56"/>
    <mergeCell ref="A57:A62"/>
    <mergeCell ref="A86:A91"/>
    <mergeCell ref="A92:A97"/>
    <mergeCell ref="A98:A103"/>
    <mergeCell ref="A104:A109"/>
    <mergeCell ref="A110:A115"/>
    <mergeCell ref="A116:A121"/>
    <mergeCell ref="A122:A127"/>
    <mergeCell ref="A216:G216"/>
    <mergeCell ref="F217:H217"/>
    <mergeCell ref="A170:A175"/>
    <mergeCell ref="A176:A181"/>
    <mergeCell ref="A182:A187"/>
    <mergeCell ref="A188:A193"/>
    <mergeCell ref="A194:A199"/>
    <mergeCell ref="A200:A205"/>
    <mergeCell ref="A206:A211"/>
    <mergeCell ref="AA16:AC16"/>
    <mergeCell ref="AA18:AI19"/>
    <mergeCell ref="AA33:AC33"/>
    <mergeCell ref="AA34:AC34"/>
    <mergeCell ref="AA35:AC42"/>
    <mergeCell ref="AD35:AF40"/>
    <mergeCell ref="AA221:AC228"/>
    <mergeCell ref="AD221:AE228"/>
    <mergeCell ref="A1:G1"/>
    <mergeCell ref="F2:H2"/>
    <mergeCell ref="X2:Y2"/>
    <mergeCell ref="A3:A8"/>
    <mergeCell ref="A9:A14"/>
    <mergeCell ref="A15:A20"/>
    <mergeCell ref="AA15:AC15"/>
    <mergeCell ref="A63:A68"/>
    <mergeCell ref="A72:G72"/>
    <mergeCell ref="F73:H73"/>
    <mergeCell ref="X73:Y73"/>
    <mergeCell ref="A74:A79"/>
    <mergeCell ref="A80:A85"/>
    <mergeCell ref="AA85:AC85"/>
    <mergeCell ref="AA86:AC86"/>
    <mergeCell ref="AA87:AC94"/>
    <mergeCell ref="AD87:AF92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158:A163"/>
    <mergeCell ref="A164:A169"/>
    <mergeCell ref="A225:G225"/>
    <mergeCell ref="F226:H226"/>
    <mergeCell ref="A227:A230"/>
    <mergeCell ref="A231:A2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75" t="s">
        <v>221</v>
      </c>
      <c r="B1" s="176" t="s">
        <v>222</v>
      </c>
      <c r="C1" s="176" t="s">
        <v>223</v>
      </c>
      <c r="D1" s="176" t="s">
        <v>224</v>
      </c>
      <c r="E1" s="176" t="s">
        <v>225</v>
      </c>
      <c r="F1" s="176" t="s">
        <v>226</v>
      </c>
      <c r="G1" s="176" t="s">
        <v>227</v>
      </c>
      <c r="H1" s="176" t="s">
        <v>228</v>
      </c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5.75" customHeight="1">
      <c r="A2" s="178" t="s">
        <v>229</v>
      </c>
      <c r="B2" s="179" t="s">
        <v>230</v>
      </c>
      <c r="C2" s="180" t="s">
        <v>31</v>
      </c>
      <c r="D2" s="180" t="s">
        <v>231</v>
      </c>
      <c r="E2" s="181">
        <v>108125.0</v>
      </c>
      <c r="F2" s="182" t="s">
        <v>232</v>
      </c>
      <c r="G2" s="179" t="s">
        <v>233</v>
      </c>
      <c r="H2" s="180" t="s">
        <v>234</v>
      </c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15.75" customHeight="1">
      <c r="A3" s="178" t="s">
        <v>229</v>
      </c>
      <c r="B3" s="179" t="s">
        <v>235</v>
      </c>
      <c r="C3" s="179" t="s">
        <v>32</v>
      </c>
      <c r="D3" s="179" t="s">
        <v>236</v>
      </c>
      <c r="E3" s="183">
        <v>89159.0</v>
      </c>
      <c r="F3" s="184" t="s">
        <v>237</v>
      </c>
      <c r="G3" s="179" t="s">
        <v>233</v>
      </c>
      <c r="H3" s="179" t="s">
        <v>238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5.75" customHeight="1">
      <c r="A4" s="178" t="s">
        <v>229</v>
      </c>
      <c r="B4" s="179" t="s">
        <v>239</v>
      </c>
      <c r="C4" s="179" t="s">
        <v>102</v>
      </c>
      <c r="D4" s="179" t="s">
        <v>240</v>
      </c>
      <c r="E4" s="183">
        <v>100096.0</v>
      </c>
      <c r="F4" s="184" t="s">
        <v>241</v>
      </c>
      <c r="G4" s="179" t="s">
        <v>233</v>
      </c>
      <c r="H4" s="179" t="s">
        <v>242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5.75" customHeight="1">
      <c r="A5" s="178" t="s">
        <v>229</v>
      </c>
      <c r="B5" s="179" t="s">
        <v>243</v>
      </c>
      <c r="C5" s="179" t="s">
        <v>59</v>
      </c>
      <c r="D5" s="179" t="s">
        <v>244</v>
      </c>
      <c r="E5" s="183">
        <v>108498.0</v>
      </c>
      <c r="F5" s="184" t="s">
        <v>245</v>
      </c>
      <c r="G5" s="179" t="s">
        <v>233</v>
      </c>
      <c r="H5" s="179" t="s">
        <v>246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5.75" customHeight="1">
      <c r="A6" s="178" t="s">
        <v>229</v>
      </c>
      <c r="B6" s="179" t="s">
        <v>247</v>
      </c>
      <c r="C6" s="179" t="s">
        <v>67</v>
      </c>
      <c r="D6" s="179" t="s">
        <v>248</v>
      </c>
      <c r="E6" s="183">
        <v>110713.0</v>
      </c>
      <c r="F6" s="184" t="s">
        <v>241</v>
      </c>
      <c r="G6" s="179" t="s">
        <v>233</v>
      </c>
      <c r="H6" s="179" t="s">
        <v>249</v>
      </c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5.75" customHeight="1">
      <c r="A7" s="178" t="s">
        <v>229</v>
      </c>
      <c r="B7" s="179" t="s">
        <v>250</v>
      </c>
      <c r="C7" s="179" t="s">
        <v>63</v>
      </c>
      <c r="D7" s="179" t="s">
        <v>251</v>
      </c>
      <c r="E7" s="183">
        <v>108196.0</v>
      </c>
      <c r="F7" s="184" t="s">
        <v>245</v>
      </c>
      <c r="G7" s="179" t="s">
        <v>233</v>
      </c>
      <c r="H7" s="179" t="s">
        <v>246</v>
      </c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5.75" customHeight="1">
      <c r="A8" s="178" t="s">
        <v>252</v>
      </c>
      <c r="B8" s="179" t="s">
        <v>253</v>
      </c>
      <c r="C8" s="179" t="s">
        <v>151</v>
      </c>
      <c r="D8" s="179" t="s">
        <v>254</v>
      </c>
      <c r="E8" s="183">
        <v>103269.0</v>
      </c>
      <c r="F8" s="184" t="s">
        <v>245</v>
      </c>
      <c r="G8" s="179" t="s">
        <v>233</v>
      </c>
      <c r="H8" s="179" t="s">
        <v>246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5.75" customHeight="1">
      <c r="A9" s="178" t="s">
        <v>229</v>
      </c>
      <c r="B9" s="179" t="s">
        <v>255</v>
      </c>
      <c r="C9" s="179" t="s">
        <v>40</v>
      </c>
      <c r="D9" s="179" t="s">
        <v>256</v>
      </c>
      <c r="E9" s="183">
        <v>109271.0</v>
      </c>
      <c r="F9" s="184" t="s">
        <v>245</v>
      </c>
      <c r="G9" s="179" t="s">
        <v>257</v>
      </c>
      <c r="H9" s="179" t="s">
        <v>258</v>
      </c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229</v>
      </c>
      <c r="B10" s="179" t="s">
        <v>259</v>
      </c>
      <c r="C10" s="179" t="s">
        <v>120</v>
      </c>
      <c r="D10" s="179" t="s">
        <v>260</v>
      </c>
      <c r="E10" s="183">
        <v>108249.0</v>
      </c>
      <c r="F10" s="184" t="s">
        <v>245</v>
      </c>
      <c r="G10" s="179" t="s">
        <v>257</v>
      </c>
      <c r="H10" s="179" t="s">
        <v>258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5.75" customHeight="1">
      <c r="A11" s="178" t="s">
        <v>229</v>
      </c>
      <c r="B11" s="179" t="s">
        <v>261</v>
      </c>
      <c r="C11" s="179" t="s">
        <v>39</v>
      </c>
      <c r="D11" s="179" t="s">
        <v>262</v>
      </c>
      <c r="E11" s="183">
        <v>103583.0</v>
      </c>
      <c r="F11" s="184" t="s">
        <v>245</v>
      </c>
      <c r="G11" s="179" t="s">
        <v>257</v>
      </c>
      <c r="H11" s="179" t="s">
        <v>263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5.75" customHeight="1">
      <c r="A12" s="178" t="s">
        <v>229</v>
      </c>
      <c r="B12" s="179" t="s">
        <v>261</v>
      </c>
      <c r="C12" s="179" t="s">
        <v>39</v>
      </c>
      <c r="D12" s="179" t="s">
        <v>264</v>
      </c>
      <c r="E12" s="183">
        <v>93245.0</v>
      </c>
      <c r="F12" s="185" t="s">
        <v>265</v>
      </c>
      <c r="G12" s="186">
        <v>44870.0</v>
      </c>
      <c r="H12" s="18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